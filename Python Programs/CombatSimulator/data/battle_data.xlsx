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Github\Utils-src\projects\release\CombatSimulator\data\"/>
    </mc:Choice>
  </mc:AlternateContent>
  <xr:revisionPtr revIDLastSave="0" documentId="13_ncr:1_{B260D750-4994-4229-A0C3-735C307F28D4}" xr6:coauthVersionLast="47" xr6:coauthVersionMax="47" xr10:uidLastSave="{00000000-0000-0000-0000-000000000000}"/>
  <bookViews>
    <workbookView xWindow="29355" yWindow="480" windowWidth="26400" windowHeight="13980" activeTab="4" xr2:uid="{00000000-000D-0000-FFFF-FFFF00000000}"/>
  </bookViews>
  <sheets>
    <sheet name="Group" sheetId="2" r:id="rId1"/>
    <sheet name="Units" sheetId="1" r:id="rId2"/>
    <sheet name="BaseValue" sheetId="4" r:id="rId3"/>
    <sheet name="TuneValue" sheetId="5" r:id="rId4"/>
    <sheet name="참고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2" i="3"/>
  <c r="J12" i="3"/>
  <c r="C3" i="3"/>
  <c r="J3" i="3" s="1"/>
  <c r="C4" i="3"/>
  <c r="J4" i="3" s="1"/>
  <c r="C5" i="3"/>
  <c r="J5" i="3" s="1"/>
  <c r="C6" i="3"/>
  <c r="J6" i="3" s="1"/>
  <c r="C7" i="3"/>
  <c r="J7" i="3" s="1"/>
  <c r="C8" i="3"/>
  <c r="J8" i="3" s="1"/>
  <c r="C9" i="3"/>
  <c r="J9" i="3" s="1"/>
  <c r="C10" i="3"/>
  <c r="J10" i="3" s="1"/>
  <c r="C11" i="3"/>
  <c r="J11" i="3" s="1"/>
  <c r="C12" i="3"/>
  <c r="C13" i="3"/>
  <c r="J13" i="3" s="1"/>
  <c r="C14" i="3"/>
  <c r="J14" i="3" s="1"/>
  <c r="C15" i="3"/>
  <c r="J15" i="3" s="1"/>
  <c r="C16" i="3"/>
  <c r="J16" i="3" s="1"/>
  <c r="C17" i="3"/>
  <c r="C2" i="3"/>
  <c r="J2" i="3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E11" i="1"/>
  <c r="D11" i="1"/>
  <c r="F11" i="1"/>
  <c r="G11" i="1"/>
  <c r="H11" i="1"/>
  <c r="I11" i="1"/>
  <c r="J11" i="1"/>
  <c r="J3" i="1"/>
  <c r="J4" i="1"/>
  <c r="J5" i="1"/>
  <c r="J6" i="1"/>
  <c r="J7" i="1"/>
  <c r="J12" i="1"/>
  <c r="J8" i="1"/>
  <c r="J16" i="1"/>
  <c r="J17" i="1"/>
  <c r="J9" i="1"/>
  <c r="J13" i="1"/>
  <c r="J14" i="1"/>
  <c r="J15" i="1"/>
  <c r="J10" i="1"/>
  <c r="J2" i="1"/>
  <c r="C2" i="1"/>
  <c r="I10" i="1"/>
  <c r="H10" i="1"/>
  <c r="E10" i="1"/>
  <c r="D10" i="1"/>
  <c r="I15" i="1"/>
  <c r="E15" i="3" s="1"/>
  <c r="H15" i="1"/>
  <c r="E15" i="1"/>
  <c r="D15" i="1"/>
  <c r="D15" i="3" s="1"/>
  <c r="D14" i="1"/>
  <c r="D14" i="3" s="1"/>
  <c r="E14" i="1"/>
  <c r="G14" i="1"/>
  <c r="H14" i="1"/>
  <c r="I14" i="1"/>
  <c r="E14" i="3" s="1"/>
  <c r="G14" i="3" s="1"/>
  <c r="D13" i="1"/>
  <c r="D13" i="3" s="1"/>
  <c r="E13" i="1"/>
  <c r="H13" i="1"/>
  <c r="I13" i="1"/>
  <c r="E13" i="3" s="1"/>
  <c r="F13" i="3" s="1"/>
  <c r="D9" i="1"/>
  <c r="E9" i="1"/>
  <c r="H9" i="1"/>
  <c r="I9" i="1"/>
  <c r="C21" i="4"/>
  <c r="C4" i="4"/>
  <c r="C16" i="4"/>
  <c r="C17" i="4" s="1"/>
  <c r="C18" i="4" s="1"/>
  <c r="C9" i="4"/>
  <c r="C10" i="4" s="1"/>
  <c r="G9" i="1" s="1"/>
  <c r="D3" i="1"/>
  <c r="D3" i="3" s="1"/>
  <c r="E3" i="1"/>
  <c r="H3" i="1"/>
  <c r="I3" i="1"/>
  <c r="E3" i="3" s="1"/>
  <c r="G3" i="3" s="1"/>
  <c r="D4" i="1"/>
  <c r="D4" i="3" s="1"/>
  <c r="E4" i="1"/>
  <c r="H4" i="1"/>
  <c r="I4" i="1"/>
  <c r="E4" i="3" s="1"/>
  <c r="G4" i="3" s="1"/>
  <c r="D5" i="1"/>
  <c r="D5" i="3" s="1"/>
  <c r="E5" i="1"/>
  <c r="H5" i="1"/>
  <c r="I5" i="1"/>
  <c r="E5" i="3" s="1"/>
  <c r="D6" i="1"/>
  <c r="D6" i="3" s="1"/>
  <c r="E6" i="1"/>
  <c r="H6" i="1"/>
  <c r="I6" i="1"/>
  <c r="E6" i="3" s="1"/>
  <c r="D7" i="1"/>
  <c r="D7" i="3" s="1"/>
  <c r="E7" i="1"/>
  <c r="H7" i="1"/>
  <c r="I7" i="1"/>
  <c r="E7" i="3" s="1"/>
  <c r="G7" i="3" s="1"/>
  <c r="D12" i="1"/>
  <c r="E12" i="1"/>
  <c r="H12" i="1"/>
  <c r="I12" i="1"/>
  <c r="D8" i="1"/>
  <c r="E8" i="1"/>
  <c r="H8" i="1"/>
  <c r="I8" i="1"/>
  <c r="D16" i="1"/>
  <c r="E16" i="1"/>
  <c r="H16" i="1"/>
  <c r="I16" i="1"/>
  <c r="D17" i="1"/>
  <c r="D10" i="3" s="1"/>
  <c r="E17" i="1"/>
  <c r="H17" i="1"/>
  <c r="I17" i="1"/>
  <c r="E10" i="3" s="1"/>
  <c r="I2" i="1"/>
  <c r="E2" i="3" s="1"/>
  <c r="H2" i="1"/>
  <c r="E2" i="1"/>
  <c r="D2" i="1"/>
  <c r="D2" i="3" s="1"/>
  <c r="E9" i="3" l="1"/>
  <c r="F9" i="3" s="1"/>
  <c r="F15" i="3"/>
  <c r="G15" i="3"/>
  <c r="E11" i="3"/>
  <c r="F11" i="3" s="1"/>
  <c r="D17" i="3"/>
  <c r="E16" i="3"/>
  <c r="F16" i="3" s="1"/>
  <c r="D11" i="3"/>
  <c r="D16" i="3"/>
  <c r="D12" i="3"/>
  <c r="E12" i="3"/>
  <c r="F12" i="3" s="1"/>
  <c r="D9" i="3"/>
  <c r="E17" i="3"/>
  <c r="F17" i="3" s="1"/>
  <c r="G13" i="3"/>
  <c r="F14" i="3"/>
  <c r="F15" i="1"/>
  <c r="B15" i="3" s="1"/>
  <c r="H15" i="3" s="1"/>
  <c r="G13" i="1"/>
  <c r="F10" i="1"/>
  <c r="F9" i="1"/>
  <c r="B11" i="3" s="1"/>
  <c r="G15" i="1"/>
  <c r="F13" i="1"/>
  <c r="B13" i="3" s="1"/>
  <c r="G10" i="1"/>
  <c r="F14" i="1"/>
  <c r="B14" i="3" s="1"/>
  <c r="H14" i="3" s="1"/>
  <c r="I14" i="3" s="1"/>
  <c r="E8" i="3"/>
  <c r="G8" i="3" s="1"/>
  <c r="D8" i="3"/>
  <c r="F16" i="1"/>
  <c r="F6" i="1"/>
  <c r="B6" i="3" s="1"/>
  <c r="F8" i="1"/>
  <c r="F5" i="1"/>
  <c r="B5" i="3" s="1"/>
  <c r="F2" i="1"/>
  <c r="B2" i="3" s="1"/>
  <c r="F12" i="1"/>
  <c r="F4" i="1"/>
  <c r="B4" i="3" s="1"/>
  <c r="H4" i="3" s="1"/>
  <c r="F17" i="1"/>
  <c r="F7" i="1"/>
  <c r="B7" i="3" s="1"/>
  <c r="F3" i="1"/>
  <c r="B3" i="3" s="1"/>
  <c r="C19" i="4"/>
  <c r="C20" i="4" s="1"/>
  <c r="G2" i="1"/>
  <c r="G7" i="1"/>
  <c r="G8" i="1"/>
  <c r="G6" i="1"/>
  <c r="G17" i="1"/>
  <c r="G5" i="1"/>
  <c r="G4" i="1"/>
  <c r="G12" i="1"/>
  <c r="G3" i="1"/>
  <c r="G16" i="1"/>
  <c r="F10" i="3"/>
  <c r="G10" i="3" s="1"/>
  <c r="F6" i="3"/>
  <c r="G6" i="3" s="1"/>
  <c r="F2" i="3"/>
  <c r="G2" i="3" s="1"/>
  <c r="F7" i="3"/>
  <c r="F5" i="3"/>
  <c r="G5" i="3" s="1"/>
  <c r="F4" i="3"/>
  <c r="F3" i="3"/>
  <c r="G9" i="3" l="1"/>
  <c r="B16" i="3"/>
  <c r="I15" i="3"/>
  <c r="H11" i="3"/>
  <c r="G16" i="3"/>
  <c r="G12" i="3"/>
  <c r="G11" i="3"/>
  <c r="B10" i="3"/>
  <c r="H10" i="3" s="1"/>
  <c r="I10" i="3" s="1"/>
  <c r="B17" i="3"/>
  <c r="G17" i="3"/>
  <c r="H13" i="3"/>
  <c r="I13" i="3" s="1"/>
  <c r="B12" i="3"/>
  <c r="H12" i="3" s="1"/>
  <c r="B9" i="3"/>
  <c r="B8" i="3"/>
  <c r="H8" i="3" s="1"/>
  <c r="I8" i="3" s="1"/>
  <c r="F8" i="3"/>
  <c r="H7" i="3"/>
  <c r="I7" i="3" s="1"/>
  <c r="I4" i="3"/>
  <c r="H5" i="3"/>
  <c r="I5" i="3" s="1"/>
  <c r="H3" i="3"/>
  <c r="I3" i="3" s="1"/>
  <c r="H6" i="3"/>
  <c r="I6" i="3" s="1"/>
  <c r="H2" i="3"/>
  <c r="I2" i="3" s="1"/>
  <c r="I12" i="3" l="1"/>
  <c r="I11" i="3"/>
  <c r="H16" i="3"/>
  <c r="I16" i="3" s="1"/>
  <c r="H9" i="3"/>
  <c r="I9" i="3" s="1"/>
  <c r="H17" i="3"/>
  <c r="I17" i="3" s="1"/>
</calcChain>
</file>

<file path=xl/sharedStrings.xml><?xml version="1.0" encoding="utf-8"?>
<sst xmlns="http://schemas.openxmlformats.org/spreadsheetml/2006/main" count="258" uniqueCount="147">
  <si>
    <t>Id</t>
  </si>
  <si>
    <t>타입</t>
  </si>
  <si>
    <t>이동 속도</t>
  </si>
  <si>
    <t>공격 속도</t>
  </si>
  <si>
    <t>체력</t>
  </si>
  <si>
    <t>공격력</t>
  </si>
  <si>
    <t>방어력</t>
  </si>
  <si>
    <t>Soldier</t>
  </si>
  <si>
    <t>구성 유닛(json)</t>
  </si>
  <si>
    <t>melee</t>
    <phoneticPr fontId="1" type="noConversion"/>
  </si>
  <si>
    <t>공격범위</t>
    <phoneticPr fontId="1" type="noConversion"/>
  </si>
  <si>
    <t>사정거리</t>
    <phoneticPr fontId="1" type="noConversion"/>
  </si>
  <si>
    <t>Whirlwind</t>
    <phoneticPr fontId="1" type="noConversion"/>
  </si>
  <si>
    <t>ranged</t>
    <phoneticPr fontId="1" type="noConversion"/>
  </si>
  <si>
    <t>player</t>
    <phoneticPr fontId="1" type="noConversion"/>
  </si>
  <si>
    <t>AttackId</t>
    <phoneticPr fontId="1" type="noConversion"/>
  </si>
  <si>
    <t>single</t>
  </si>
  <si>
    <t>aoe_target</t>
    <phoneticPr fontId="1" type="noConversion"/>
  </si>
  <si>
    <t>aoe_attacker</t>
    <phoneticPr fontId="1" type="noConversion"/>
  </si>
  <si>
    <t>공격력</t>
    <phoneticPr fontId="1" type="noConversion"/>
  </si>
  <si>
    <t>단일 DPS</t>
    <phoneticPr fontId="1" type="noConversion"/>
  </si>
  <si>
    <t>최대 DPS</t>
    <phoneticPr fontId="1" type="noConversion"/>
  </si>
  <si>
    <t>최다 히트 수</t>
    <phoneticPr fontId="1" type="noConversion"/>
  </si>
  <si>
    <t>공격 범위 반지름(r)</t>
    <phoneticPr fontId="1" type="noConversion"/>
  </si>
  <si>
    <t>BrainId</t>
    <phoneticPr fontId="1" type="noConversion"/>
  </si>
  <si>
    <t>basic_chase</t>
  </si>
  <si>
    <t>kite</t>
  </si>
  <si>
    <t>flee</t>
    <phoneticPr fontId="1" type="noConversion"/>
  </si>
  <si>
    <t>kite_smart</t>
    <phoneticPr fontId="1" type="noConversion"/>
  </si>
  <si>
    <t>Standard_A</t>
    <phoneticPr fontId="1" type="noConversion"/>
  </si>
  <si>
    <t>Standard_B</t>
    <phoneticPr fontId="1" type="noConversion"/>
  </si>
  <si>
    <t>MonsterGroup_1</t>
    <phoneticPr fontId="1" type="noConversion"/>
  </si>
  <si>
    <t>MonsterGroup_2</t>
  </si>
  <si>
    <t>MonsterGroup_3</t>
  </si>
  <si>
    <t>MonsterGroup_4</t>
  </si>
  <si>
    <t>MonsterGroup_5</t>
  </si>
  <si>
    <t>MonsterGroup_6</t>
  </si>
  <si>
    <t>MonsterGroup_7</t>
  </si>
  <si>
    <t>MonsterGroup_8</t>
  </si>
  <si>
    <t>MonsterGroup_9</t>
  </si>
  <si>
    <t>PlayeGroup_1</t>
    <phoneticPr fontId="1" type="noConversion"/>
  </si>
  <si>
    <t>PlayeGroup_2</t>
  </si>
  <si>
    <t>PlayeGroup_3</t>
  </si>
  <si>
    <t>PlayeGroup_4</t>
  </si>
  <si>
    <t>PlayeGroup_5</t>
  </si>
  <si>
    <t>PlayeGroup_8</t>
    <phoneticPr fontId="1" type="noConversion"/>
  </si>
  <si>
    <t>Archer</t>
    <phoneticPr fontId="1" type="noConversion"/>
  </si>
  <si>
    <t>Sniper</t>
    <phoneticPr fontId="1" type="noConversion"/>
  </si>
  <si>
    <t>항목</t>
    <phoneticPr fontId="1" type="noConversion"/>
  </si>
  <si>
    <t>값</t>
    <phoneticPr fontId="1" type="noConversion"/>
  </si>
  <si>
    <t>카테고리</t>
    <phoneticPr fontId="1" type="noConversion"/>
  </si>
  <si>
    <t>플레이어</t>
    <phoneticPr fontId="1" type="noConversion"/>
  </si>
  <si>
    <t>기준 체력</t>
    <phoneticPr fontId="1" type="noConversion"/>
  </si>
  <si>
    <t>기준 공격력</t>
    <phoneticPr fontId="1" type="noConversion"/>
  </si>
  <si>
    <t>기준 공격속도</t>
    <phoneticPr fontId="1" type="noConversion"/>
  </si>
  <si>
    <t>기준 방어력</t>
    <phoneticPr fontId="1" type="noConversion"/>
  </si>
  <si>
    <t>이동 속도</t>
    <phoneticPr fontId="1" type="noConversion"/>
  </si>
  <si>
    <t>기준 이동속도</t>
    <phoneticPr fontId="1" type="noConversion"/>
  </si>
  <si>
    <t>기준 사정거리</t>
    <phoneticPr fontId="1" type="noConversion"/>
  </si>
  <si>
    <t>기준 공격범위(AOE)</t>
    <phoneticPr fontId="1" type="noConversion"/>
  </si>
  <si>
    <t>기준 유닛 크기</t>
    <phoneticPr fontId="1" type="noConversion"/>
  </si>
  <si>
    <t>표준 TTK</t>
    <phoneticPr fontId="1" type="noConversion"/>
  </si>
  <si>
    <t>몬스터</t>
    <phoneticPr fontId="1" type="noConversion"/>
  </si>
  <si>
    <t>몬스터 그룹 당 평균 개체 수</t>
    <phoneticPr fontId="1" type="noConversion"/>
  </si>
  <si>
    <t>한 마리 당 가해야 하는 피해</t>
    <phoneticPr fontId="1" type="noConversion"/>
  </si>
  <si>
    <t>한 마리 당 가하는 피해 비율</t>
    <phoneticPr fontId="1" type="noConversion"/>
  </si>
  <si>
    <t>표준 공격력 방어력 비율</t>
    <phoneticPr fontId="1" type="noConversion"/>
  </si>
  <si>
    <t>한 마디 당 받는 피해</t>
    <phoneticPr fontId="1" type="noConversion"/>
  </si>
  <si>
    <t>전투</t>
    <phoneticPr fontId="1" type="noConversion"/>
  </si>
  <si>
    <t>비고</t>
    <phoneticPr fontId="1" type="noConversion"/>
  </si>
  <si>
    <t>한 마리 당 적정 체력</t>
    <phoneticPr fontId="1" type="noConversion"/>
  </si>
  <si>
    <t>표준 체력 (상대 비율)</t>
    <phoneticPr fontId="1" type="noConversion"/>
  </si>
  <si>
    <t>표준 공격력 (상대 비율)</t>
    <phoneticPr fontId="1" type="noConversion"/>
  </si>
  <si>
    <t>전투 당 플레이어가 받는 피해 비율</t>
    <phoneticPr fontId="1" type="noConversion"/>
  </si>
  <si>
    <t>몬스터 한 마리 당 적정 처치 시간</t>
    <phoneticPr fontId="1" type="noConversion"/>
  </si>
  <si>
    <t>순수 전투 시간 기준</t>
    <phoneticPr fontId="1" type="noConversion"/>
  </si>
  <si>
    <t>한 마리 당 가해야 하는 피해 (비율)</t>
    <phoneticPr fontId="1" type="noConversion"/>
  </si>
  <si>
    <t>한 마리 당 적정 공격 속도</t>
    <phoneticPr fontId="1" type="noConversion"/>
  </si>
  <si>
    <t>Tank</t>
    <phoneticPr fontId="1" type="noConversion"/>
  </si>
  <si>
    <t>FleeSoldier</t>
  </si>
  <si>
    <t>FleeSoldier</t>
    <phoneticPr fontId="1" type="noConversion"/>
  </si>
  <si>
    <t>kite_flee</t>
    <phoneticPr fontId="1" type="noConversion"/>
  </si>
  <si>
    <t>Soldier</t>
    <phoneticPr fontId="1" type="noConversion"/>
  </si>
  <si>
    <t>Dog</t>
    <phoneticPr fontId="1" type="noConversion"/>
  </si>
  <si>
    <t>기준 탐지 거리</t>
    <phoneticPr fontId="1" type="noConversion"/>
  </si>
  <si>
    <t>탐지범위</t>
  </si>
  <si>
    <t>탐지범위</t>
    <phoneticPr fontId="1" type="noConversion"/>
  </si>
  <si>
    <t>명중률</t>
    <phoneticPr fontId="1" type="noConversion"/>
  </si>
  <si>
    <t>회피율</t>
    <phoneticPr fontId="1" type="noConversion"/>
  </si>
  <si>
    <t>캐스팅</t>
    <phoneticPr fontId="1" type="noConversion"/>
  </si>
  <si>
    <t>포션등급</t>
    <phoneticPr fontId="1" type="noConversion"/>
  </si>
  <si>
    <t>포션개수</t>
    <phoneticPr fontId="1" type="noConversion"/>
  </si>
  <si>
    <t>포션쿨</t>
    <phoneticPr fontId="1" type="noConversion"/>
  </si>
  <si>
    <t>["EliteKnight"]</t>
    <phoneticPr fontId="1" type="noConversion"/>
  </si>
  <si>
    <t>EliteKnight</t>
  </si>
  <si>
    <t>EliteKnight</t>
    <phoneticPr fontId="1" type="noConversion"/>
  </si>
  <si>
    <t>["Tank", "Soldier", "Sniper","Dog"]</t>
    <phoneticPr fontId="1" type="noConversion"/>
  </si>
  <si>
    <t>코멘트</t>
    <phoneticPr fontId="1" type="noConversion"/>
  </si>
  <si>
    <t>사냥개</t>
    <phoneticPr fontId="1" type="noConversion"/>
  </si>
  <si>
    <t>왕국기사단 병사</t>
    <phoneticPr fontId="1" type="noConversion"/>
  </si>
  <si>
    <t>왕국기사단 석궁사수</t>
    <phoneticPr fontId="1" type="noConversion"/>
  </si>
  <si>
    <t>왕국기사단 저격병</t>
    <phoneticPr fontId="1" type="noConversion"/>
  </si>
  <si>
    <t>왕국기사단 수호병</t>
    <phoneticPr fontId="1" type="noConversion"/>
  </si>
  <si>
    <t>왕국기사단 정식기사</t>
    <phoneticPr fontId="1" type="noConversion"/>
  </si>
  <si>
    <t>왕국기사단 겁쟁이 병사</t>
    <phoneticPr fontId="1" type="noConversion"/>
  </si>
  <si>
    <t>왕국기사단 겁쟁이 석궁사수</t>
    <phoneticPr fontId="1" type="noConversion"/>
  </si>
  <si>
    <t>왕국기사단 바보같은 석궁사수</t>
    <phoneticPr fontId="1" type="noConversion"/>
  </si>
  <si>
    <t>왕국기사단 영악한 석궁사수</t>
    <phoneticPr fontId="1" type="noConversion"/>
  </si>
  <si>
    <t>왕국기사단 대형도끼병</t>
    <phoneticPr fontId="1" type="noConversion"/>
  </si>
  <si>
    <t>["Soldier"]</t>
    <phoneticPr fontId="1" type="noConversion"/>
  </si>
  <si>
    <t>ㄴ</t>
    <phoneticPr fontId="1" type="noConversion"/>
  </si>
  <si>
    <t>PlayeGroup_6</t>
    <phoneticPr fontId="1" type="noConversion"/>
  </si>
  <si>
    <t>PlayeGroup_7</t>
    <phoneticPr fontId="1" type="noConversion"/>
  </si>
  <si>
    <t>PlayeGroup_9</t>
    <phoneticPr fontId="1" type="noConversion"/>
  </si>
  <si>
    <t>Fighter</t>
  </si>
  <si>
    <t>["Fighter"]</t>
  </si>
  <si>
    <t>["Rogue"]</t>
  </si>
  <si>
    <t>["Fighter","Rogue"]</t>
  </si>
  <si>
    <t>Rogue</t>
  </si>
  <si>
    <t>["Guardian"]</t>
  </si>
  <si>
    <t>["Fighter","Guardian"]</t>
  </si>
  <si>
    <t>Guardian</t>
  </si>
  <si>
    <t>["Sorcerer"]</t>
  </si>
  <si>
    <t>["Fighter","Sorcerer"]</t>
  </si>
  <si>
    <t>Sorcerer</t>
  </si>
  <si>
    <t>Crossbowman</t>
  </si>
  <si>
    <t>["Tank", "Soldier", "Crossbowman","Dog"]</t>
  </si>
  <si>
    <t>["Soldier", "Crossbowman", "Dog","Dog"]</t>
  </si>
  <si>
    <t>["EliteKnight","Crossbowman"]</t>
  </si>
  <si>
    <t>[{"id":"Tank","n":1},{"id":"Soldier","n":3},{"id":"Crossbowman","n":1},{"id":"Sniper","n":1}]</t>
  </si>
  <si>
    <t>FleeCrossbowman</t>
  </si>
  <si>
    <t>SmartCrossbowman</t>
  </si>
  <si>
    <t>StupidCrossbowman</t>
  </si>
  <si>
    <t>["Archer"]</t>
    <phoneticPr fontId="1" type="noConversion"/>
  </si>
  <si>
    <t>["Fighter","Archer"]</t>
    <phoneticPr fontId="1" type="noConversion"/>
  </si>
  <si>
    <t>[{"id":"Tank","n":2},{"id":"Soldier","n":4},{"id":"Crossbowman","n":2},{"id":"Dog","n":2}]</t>
    <phoneticPr fontId="1" type="noConversion"/>
  </si>
  <si>
    <t>[{"id":"Tank","n":1},{"id":"Soldier","n":2},{"id":"Crossbowman","n":1},{"id":"Dog","n":1}]</t>
    <phoneticPr fontId="1" type="noConversion"/>
  </si>
  <si>
    <t>리시타</t>
    <phoneticPr fontId="1" type="noConversion"/>
  </si>
  <si>
    <t>카이</t>
    <phoneticPr fontId="1" type="noConversion"/>
  </si>
  <si>
    <t>카록</t>
    <phoneticPr fontId="1" type="noConversion"/>
  </si>
  <si>
    <t>이비</t>
    <phoneticPr fontId="1" type="noConversion"/>
  </si>
  <si>
    <t>벨라</t>
    <phoneticPr fontId="1" type="noConversion"/>
  </si>
  <si>
    <t>체력</t>
    <phoneticPr fontId="1" type="noConversion"/>
  </si>
  <si>
    <t>공격 범위</t>
    <phoneticPr fontId="1" type="noConversion"/>
  </si>
  <si>
    <t>공격 속도</t>
    <phoneticPr fontId="1" type="noConversion"/>
  </si>
  <si>
    <t>TTK (time to kill this unit)</t>
    <phoneticPr fontId="1" type="noConversion"/>
  </si>
  <si>
    <t>TTD (time until killed by this unit)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</si>
</sst>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i/>
      <sz val="11"/>
      <color rgb="FF7F7F7F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2" fillId="0" borderId="0" xfId="1" applyAlignmen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2">
    <cellStyle name="설명 텍스트" xfId="1" builtinId="53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A28" sqref="A28"/>
    </sheetView>
  </sheetViews>
  <sheetFormatPr defaultRowHeight="16.5" x14ac:dyDescent="0.3"/>
  <cols>
    <col min="1" max="1" width="17.375" bestFit="1" customWidth="1"/>
    <col min="2" max="2" width="80.625" bestFit="1" customWidth="1"/>
  </cols>
  <sheetData>
    <row r="1" spans="1:5" x14ac:dyDescent="0.3">
      <c r="A1" t="s">
        <v>0</v>
      </c>
      <c r="B1" t="s">
        <v>8</v>
      </c>
    </row>
    <row r="2" spans="1:5" x14ac:dyDescent="0.3">
      <c r="A2" t="s">
        <v>29</v>
      </c>
      <c r="B2" t="s">
        <v>115</v>
      </c>
    </row>
    <row r="3" spans="1:5" x14ac:dyDescent="0.3">
      <c r="A3" t="s">
        <v>30</v>
      </c>
      <c r="B3" t="s">
        <v>96</v>
      </c>
    </row>
    <row r="4" spans="1:5" x14ac:dyDescent="0.3">
      <c r="A4" t="s">
        <v>40</v>
      </c>
      <c r="B4" t="s">
        <v>115</v>
      </c>
    </row>
    <row r="5" spans="1:5" x14ac:dyDescent="0.3">
      <c r="A5" t="s">
        <v>41</v>
      </c>
      <c r="B5" t="s">
        <v>116</v>
      </c>
    </row>
    <row r="6" spans="1:5" x14ac:dyDescent="0.3">
      <c r="A6" t="s">
        <v>42</v>
      </c>
      <c r="B6" t="s">
        <v>133</v>
      </c>
    </row>
    <row r="7" spans="1:5" x14ac:dyDescent="0.3">
      <c r="A7" t="s">
        <v>43</v>
      </c>
      <c r="B7" t="s">
        <v>119</v>
      </c>
    </row>
    <row r="8" spans="1:5" x14ac:dyDescent="0.3">
      <c r="A8" t="s">
        <v>44</v>
      </c>
      <c r="B8" t="s">
        <v>122</v>
      </c>
    </row>
    <row r="9" spans="1:5" x14ac:dyDescent="0.3">
      <c r="A9" t="s">
        <v>111</v>
      </c>
      <c r="B9" t="s">
        <v>117</v>
      </c>
    </row>
    <row r="10" spans="1:5" x14ac:dyDescent="0.3">
      <c r="A10" t="s">
        <v>112</v>
      </c>
      <c r="B10" t="s">
        <v>134</v>
      </c>
    </row>
    <row r="11" spans="1:5" x14ac:dyDescent="0.3">
      <c r="A11" t="s">
        <v>45</v>
      </c>
      <c r="B11" t="s">
        <v>120</v>
      </c>
    </row>
    <row r="12" spans="1:5" x14ac:dyDescent="0.3">
      <c r="A12" t="s">
        <v>113</v>
      </c>
      <c r="B12" t="s">
        <v>123</v>
      </c>
    </row>
    <row r="13" spans="1:5" x14ac:dyDescent="0.3">
      <c r="A13" t="s">
        <v>31</v>
      </c>
      <c r="B13" t="s">
        <v>126</v>
      </c>
    </row>
    <row r="14" spans="1:5" x14ac:dyDescent="0.3">
      <c r="A14" t="s">
        <v>32</v>
      </c>
      <c r="B14" t="s">
        <v>96</v>
      </c>
    </row>
    <row r="15" spans="1:5" x14ac:dyDescent="0.3">
      <c r="A15" t="s">
        <v>33</v>
      </c>
      <c r="B15" t="s">
        <v>127</v>
      </c>
    </row>
    <row r="16" spans="1:5" x14ac:dyDescent="0.3">
      <c r="A16" t="s">
        <v>34</v>
      </c>
      <c r="B16" t="s">
        <v>93</v>
      </c>
      <c r="E16" t="s">
        <v>110</v>
      </c>
    </row>
    <row r="17" spans="1:2" x14ac:dyDescent="0.3">
      <c r="A17" t="s">
        <v>35</v>
      </c>
      <c r="B17" t="s">
        <v>128</v>
      </c>
    </row>
    <row r="18" spans="1:2" x14ac:dyDescent="0.3">
      <c r="A18" t="s">
        <v>36</v>
      </c>
      <c r="B18" t="s">
        <v>136</v>
      </c>
    </row>
    <row r="19" spans="1:2" x14ac:dyDescent="0.3">
      <c r="A19" t="s">
        <v>37</v>
      </c>
      <c r="B19" t="s">
        <v>135</v>
      </c>
    </row>
    <row r="20" spans="1:2" x14ac:dyDescent="0.3">
      <c r="A20" t="s">
        <v>38</v>
      </c>
      <c r="B20" t="s">
        <v>129</v>
      </c>
    </row>
    <row r="21" spans="1:2" x14ac:dyDescent="0.3">
      <c r="A21" t="s">
        <v>39</v>
      </c>
      <c r="B21" t="s">
        <v>109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workbookViewId="0">
      <selection activeCell="D23" sqref="D23"/>
    </sheetView>
  </sheetViews>
  <sheetFormatPr defaultRowHeight="16.5" x14ac:dyDescent="0.3"/>
  <cols>
    <col min="1" max="1" width="19.875" bestFit="1" customWidth="1"/>
    <col min="17" max="17" width="12.375" bestFit="1" customWidth="1"/>
    <col min="18" max="18" width="11.375" bestFit="1" customWidth="1"/>
  </cols>
  <sheetData>
    <row r="1" spans="1:18" x14ac:dyDescent="0.3">
      <c r="A1" t="s">
        <v>0</v>
      </c>
      <c r="B1" t="s">
        <v>1</v>
      </c>
      <c r="C1" t="s">
        <v>56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10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15</v>
      </c>
      <c r="R1" t="s">
        <v>24</v>
      </c>
    </row>
    <row r="2" spans="1:18" x14ac:dyDescent="0.3">
      <c r="A2" t="s">
        <v>114</v>
      </c>
      <c r="B2" t="s">
        <v>14</v>
      </c>
      <c r="C2">
        <f>VLOOKUP($A2, TuneValue!$A$2:$J$1000, 3, FALSE) * BaseValue!$C$6</f>
        <v>100</v>
      </c>
      <c r="D2">
        <f>VLOOKUP($A2, TuneValue!$A$2:$I$1000, 4, FALSE) * BaseValue!$C$7</f>
        <v>1</v>
      </c>
      <c r="E2">
        <f>VLOOKUP($A2, TuneValue!$A$2:$I$1000, 5, FALSE) * BaseValue!$C$8</f>
        <v>390</v>
      </c>
      <c r="F2">
        <f>VLOOKUP($A2, TuneValue!$A$2:$I$1000, 6, FALSE) * BaseValue!$C$9</f>
        <v>22.5</v>
      </c>
      <c r="G2">
        <f>VLOOKUP($A2, TuneValue!$A$2:$I$1000, 7, FALSE) * BaseValue!$C$10</f>
        <v>10.725</v>
      </c>
      <c r="H2">
        <f>VLOOKUP($A2, TuneValue!$A$2:$I$1000, 8, FALSE) * BaseValue!$C$11</f>
        <v>20</v>
      </c>
      <c r="I2">
        <f>VLOOKUP($A2, TuneValue!$A$2:$I$1000, 9, FALSE) * BaseValue!$C$12</f>
        <v>25</v>
      </c>
      <c r="J2">
        <f>VLOOKUP($A2, TuneValue!$A$2:$J$1000, 10, FALSE) * BaseValue!$C$14</f>
        <v>100</v>
      </c>
      <c r="K2">
        <v>1</v>
      </c>
      <c r="L2">
        <v>0.2</v>
      </c>
      <c r="M2">
        <v>0.5</v>
      </c>
      <c r="N2">
        <v>1</v>
      </c>
      <c r="O2">
        <v>0</v>
      </c>
      <c r="P2">
        <v>8</v>
      </c>
      <c r="Q2" t="s">
        <v>16</v>
      </c>
      <c r="R2" t="s">
        <v>25</v>
      </c>
    </row>
    <row r="3" spans="1:18" x14ac:dyDescent="0.3">
      <c r="A3" t="s">
        <v>118</v>
      </c>
      <c r="B3" t="s">
        <v>14</v>
      </c>
      <c r="C3">
        <f>VLOOKUP($A3, TuneValue!$A$2:$J$1000, 3, FALSE) * BaseValue!$C$6</f>
        <v>100</v>
      </c>
      <c r="D3">
        <f>VLOOKUP($A3, TuneValue!$A$2:$I$1000, 4, FALSE) * BaseValue!$C$7</f>
        <v>2</v>
      </c>
      <c r="E3">
        <f>VLOOKUP($A3, TuneValue!$A$2:$I$1000, 5, FALSE) * BaseValue!$C$8</f>
        <v>150</v>
      </c>
      <c r="F3">
        <f>VLOOKUP($A3, TuneValue!$A$2:$I$1000, 6, FALSE) * BaseValue!$C$9</f>
        <v>36.25</v>
      </c>
      <c r="G3">
        <f>VLOOKUP($A3, TuneValue!$A$2:$I$1000, 7, FALSE) * BaseValue!$C$10</f>
        <v>8.25</v>
      </c>
      <c r="H3">
        <f>VLOOKUP($A3, TuneValue!$A$2:$I$1000, 8, FALSE) * BaseValue!$C$11</f>
        <v>15</v>
      </c>
      <c r="I3">
        <f>VLOOKUP($A3, TuneValue!$A$2:$I$1000, 9, FALSE) * BaseValue!$C$12</f>
        <v>0</v>
      </c>
      <c r="J3">
        <f>VLOOKUP($A3, TuneValue!$A$2:$J$1000, 10, FALSE) * BaseValue!$C$14</f>
        <v>100</v>
      </c>
      <c r="K3">
        <v>1</v>
      </c>
      <c r="L3">
        <v>0.35</v>
      </c>
      <c r="M3">
        <v>0.25</v>
      </c>
      <c r="N3">
        <v>1</v>
      </c>
      <c r="O3">
        <v>0</v>
      </c>
      <c r="P3">
        <v>8</v>
      </c>
      <c r="Q3" t="s">
        <v>16</v>
      </c>
      <c r="R3" t="s">
        <v>27</v>
      </c>
    </row>
    <row r="4" spans="1:18" x14ac:dyDescent="0.3">
      <c r="A4" t="s">
        <v>46</v>
      </c>
      <c r="B4" t="s">
        <v>14</v>
      </c>
      <c r="C4">
        <f>VLOOKUP($A4, TuneValue!$A$2:$J$1000, 3, FALSE) * BaseValue!$C$6</f>
        <v>100</v>
      </c>
      <c r="D4">
        <f>VLOOKUP($A4, TuneValue!$A$2:$I$1000, 4, FALSE) * BaseValue!$C$7</f>
        <v>0.75</v>
      </c>
      <c r="E4">
        <f>VLOOKUP($A4, TuneValue!$A$2:$I$1000, 5, FALSE) * BaseValue!$C$8</f>
        <v>225</v>
      </c>
      <c r="F4">
        <f>VLOOKUP($A4, TuneValue!$A$2:$I$1000, 6, FALSE) * BaseValue!$C$9</f>
        <v>62.5</v>
      </c>
      <c r="G4">
        <f>VLOOKUP($A4, TuneValue!$A$2:$I$1000, 7, FALSE) * BaseValue!$C$10</f>
        <v>8.25</v>
      </c>
      <c r="H4">
        <f>VLOOKUP($A4, TuneValue!$A$2:$I$1000, 8, FALSE) * BaseValue!$C$11</f>
        <v>200</v>
      </c>
      <c r="I4">
        <f>VLOOKUP($A4, TuneValue!$A$2:$I$1000, 9, FALSE) * BaseValue!$C$12</f>
        <v>0</v>
      </c>
      <c r="J4">
        <f>VLOOKUP($A4, TuneValue!$A$2:$J$1000, 10, FALSE) * BaseValue!$C$14</f>
        <v>100</v>
      </c>
      <c r="K4">
        <v>1</v>
      </c>
      <c r="L4">
        <v>0.15</v>
      </c>
      <c r="M4">
        <v>0.5</v>
      </c>
      <c r="N4">
        <v>1</v>
      </c>
      <c r="O4">
        <v>0</v>
      </c>
      <c r="P4">
        <v>8</v>
      </c>
      <c r="Q4" t="s">
        <v>16</v>
      </c>
      <c r="R4" t="s">
        <v>28</v>
      </c>
    </row>
    <row r="5" spans="1:18" x14ac:dyDescent="0.3">
      <c r="A5" t="s">
        <v>121</v>
      </c>
      <c r="B5" t="s">
        <v>14</v>
      </c>
      <c r="C5">
        <f>VLOOKUP($A5, TuneValue!$A$2:$J$1000, 3, FALSE) * BaseValue!$C$6</f>
        <v>100</v>
      </c>
      <c r="D5">
        <f>VLOOKUP($A5, TuneValue!$A$2:$I$1000, 4, FALSE) * BaseValue!$C$7</f>
        <v>1</v>
      </c>
      <c r="E5">
        <f>VLOOKUP($A5, TuneValue!$A$2:$I$1000, 5, FALSE) * BaseValue!$C$8</f>
        <v>600</v>
      </c>
      <c r="F5">
        <f>VLOOKUP($A5, TuneValue!$A$2:$I$1000, 6, FALSE) * BaseValue!$C$9</f>
        <v>12.5</v>
      </c>
      <c r="G5">
        <f>VLOOKUP($A5, TuneValue!$A$2:$I$1000, 7, FALSE) * BaseValue!$C$10</f>
        <v>24.75</v>
      </c>
      <c r="H5">
        <f>VLOOKUP($A5, TuneValue!$A$2:$I$1000, 8, FALSE) * BaseValue!$C$11</f>
        <v>15</v>
      </c>
      <c r="I5">
        <f>VLOOKUP($A5, TuneValue!$A$2:$I$1000, 9, FALSE) * BaseValue!$C$12</f>
        <v>25</v>
      </c>
      <c r="J5">
        <f>VLOOKUP($A5, TuneValue!$A$2:$J$1000, 10, FALSE) * BaseValue!$C$14</f>
        <v>100</v>
      </c>
      <c r="K5">
        <v>1</v>
      </c>
      <c r="L5">
        <v>0.35</v>
      </c>
      <c r="M5">
        <v>0.5</v>
      </c>
      <c r="N5">
        <v>1</v>
      </c>
      <c r="O5">
        <v>0</v>
      </c>
      <c r="P5">
        <v>8</v>
      </c>
      <c r="Q5" t="s">
        <v>18</v>
      </c>
      <c r="R5" t="s">
        <v>25</v>
      </c>
    </row>
    <row r="6" spans="1:18" x14ac:dyDescent="0.3">
      <c r="A6" t="s">
        <v>124</v>
      </c>
      <c r="B6" t="s">
        <v>14</v>
      </c>
      <c r="C6">
        <f>VLOOKUP($A6, TuneValue!$A$2:$J$1000, 3, FALSE) * BaseValue!$C$6</f>
        <v>100</v>
      </c>
      <c r="D6">
        <f>VLOOKUP($A6, TuneValue!$A$2:$I$1000, 4, FALSE) * BaseValue!$C$7</f>
        <v>1</v>
      </c>
      <c r="E6">
        <f>VLOOKUP($A6, TuneValue!$A$2:$I$1000, 5, FALSE) * BaseValue!$C$8</f>
        <v>150</v>
      </c>
      <c r="F6">
        <f>VLOOKUP($A6, TuneValue!$A$2:$I$1000, 6, FALSE) * BaseValue!$C$9</f>
        <v>25</v>
      </c>
      <c r="G6">
        <f>VLOOKUP($A6, TuneValue!$A$2:$I$1000, 7, FALSE) * BaseValue!$C$10</f>
        <v>8.25</v>
      </c>
      <c r="H6">
        <f>VLOOKUP($A6, TuneValue!$A$2:$I$1000, 8, FALSE) * BaseValue!$C$11</f>
        <v>150</v>
      </c>
      <c r="I6">
        <f>VLOOKUP($A6, TuneValue!$A$2:$I$1000, 9, FALSE) * BaseValue!$C$12</f>
        <v>40</v>
      </c>
      <c r="J6">
        <f>VLOOKUP($A6, TuneValue!$A$2:$J$1000, 10, FALSE) * BaseValue!$C$14</f>
        <v>100</v>
      </c>
      <c r="K6">
        <v>1</v>
      </c>
      <c r="L6">
        <v>0.15</v>
      </c>
      <c r="M6">
        <v>0.5</v>
      </c>
      <c r="N6">
        <v>1</v>
      </c>
      <c r="O6">
        <v>0</v>
      </c>
      <c r="P6">
        <v>8</v>
      </c>
      <c r="Q6" t="s">
        <v>17</v>
      </c>
      <c r="R6" t="s">
        <v>28</v>
      </c>
    </row>
    <row r="7" spans="1:18" x14ac:dyDescent="0.3">
      <c r="A7" t="s">
        <v>7</v>
      </c>
      <c r="B7" t="s">
        <v>9</v>
      </c>
      <c r="C7">
        <f>VLOOKUP($A7, TuneValue!$A$2:$J$1000, 3, FALSE) * BaseValue!$C$6</f>
        <v>70</v>
      </c>
      <c r="D7">
        <f>VLOOKUP($A7, TuneValue!$A$2:$I$1000, 4, FALSE) * BaseValue!$C$7</f>
        <v>0.33</v>
      </c>
      <c r="E7">
        <f>VLOOKUP($A7, TuneValue!$A$2:$I$1000, 5, FALSE) * BaseValue!$C$8</f>
        <v>75</v>
      </c>
      <c r="F7">
        <f>VLOOKUP($A7, TuneValue!$A$2:$I$1000, 6, FALSE) * BaseValue!$C$9</f>
        <v>41.25</v>
      </c>
      <c r="G7">
        <f>VLOOKUP($A7, TuneValue!$A$2:$I$1000, 7, FALSE) * BaseValue!$C$10</f>
        <v>0</v>
      </c>
      <c r="H7">
        <f>VLOOKUP($A7, TuneValue!$A$2:$I$1000, 8, FALSE) * BaseValue!$C$11</f>
        <v>40</v>
      </c>
      <c r="I7">
        <f>VLOOKUP($A7, TuneValue!$A$2:$I$1000, 9, FALSE) * BaseValue!$C$12</f>
        <v>0</v>
      </c>
      <c r="J7">
        <f>VLOOKUP($A7, TuneValue!$A$2:$J$1000, 10, FALSE) * BaseValue!$C$14</f>
        <v>100</v>
      </c>
      <c r="K7">
        <v>0.85</v>
      </c>
      <c r="L7">
        <v>0.15</v>
      </c>
      <c r="M7">
        <v>0.5</v>
      </c>
      <c r="N7">
        <v>1</v>
      </c>
      <c r="O7">
        <v>0</v>
      </c>
      <c r="P7">
        <v>8</v>
      </c>
      <c r="Q7" t="s">
        <v>16</v>
      </c>
      <c r="R7" t="s">
        <v>25</v>
      </c>
    </row>
    <row r="8" spans="1:18" x14ac:dyDescent="0.3">
      <c r="A8" t="s">
        <v>125</v>
      </c>
      <c r="B8" t="s">
        <v>13</v>
      </c>
      <c r="C8">
        <f>VLOOKUP($A8, TuneValue!$A$2:$J$1000, 3, FALSE) * BaseValue!$C$6</f>
        <v>70</v>
      </c>
      <c r="D8">
        <f>VLOOKUP($A8, TuneValue!$A$2:$I$1000, 4, FALSE) * BaseValue!$C$7</f>
        <v>0.16500000000000001</v>
      </c>
      <c r="E8">
        <f>VLOOKUP($A8, TuneValue!$A$2:$I$1000, 5, FALSE) * BaseValue!$C$8</f>
        <v>75</v>
      </c>
      <c r="F8">
        <f>VLOOKUP($A8, TuneValue!$A$2:$I$1000, 6, FALSE) * BaseValue!$C$9</f>
        <v>27.500000000000004</v>
      </c>
      <c r="G8">
        <f>VLOOKUP($A8, TuneValue!$A$2:$I$1000, 7, FALSE) * BaseValue!$C$10</f>
        <v>1.2375</v>
      </c>
      <c r="H8">
        <f>VLOOKUP($A8, TuneValue!$A$2:$I$1000, 8, FALSE) * BaseValue!$C$11</f>
        <v>150</v>
      </c>
      <c r="I8">
        <f>VLOOKUP($A8, TuneValue!$A$2:$I$1000, 9, FALSE) * BaseValue!$C$12</f>
        <v>0</v>
      </c>
      <c r="J8">
        <f>VLOOKUP($A8, TuneValue!$A$2:$J$1000, 10, FALSE) * BaseValue!$C$14</f>
        <v>100</v>
      </c>
      <c r="K8">
        <v>0.85</v>
      </c>
      <c r="L8">
        <v>0.15</v>
      </c>
      <c r="M8">
        <v>0.5</v>
      </c>
      <c r="N8">
        <v>1</v>
      </c>
      <c r="O8">
        <v>0</v>
      </c>
      <c r="P8">
        <v>8</v>
      </c>
      <c r="Q8" t="s">
        <v>16</v>
      </c>
      <c r="R8" t="s">
        <v>26</v>
      </c>
    </row>
    <row r="9" spans="1:18" x14ac:dyDescent="0.3">
      <c r="A9" t="s">
        <v>78</v>
      </c>
      <c r="B9" t="s">
        <v>9</v>
      </c>
      <c r="C9">
        <f>VLOOKUP($A9, TuneValue!$A$2:$J$1000, 3, FALSE) * BaseValue!$C$6</f>
        <v>70</v>
      </c>
      <c r="D9">
        <f>VLOOKUP($A9, TuneValue!$A$2:$I$1000, 4, FALSE) * BaseValue!$C$7</f>
        <v>0.33</v>
      </c>
      <c r="E9">
        <f>VLOOKUP($A9, TuneValue!$A$2:$I$1000, 5, FALSE) * BaseValue!$C$8</f>
        <v>105</v>
      </c>
      <c r="F9">
        <f>VLOOKUP($A9, TuneValue!$A$2:$I$1000, 6, FALSE) * BaseValue!$C$9</f>
        <v>33.75</v>
      </c>
      <c r="G9">
        <f>VLOOKUP($A9, TuneValue!$A$2:$I$1000, 7, FALSE) * BaseValue!$C$10</f>
        <v>1.2375</v>
      </c>
      <c r="H9">
        <f>VLOOKUP($A9, TuneValue!$A$2:$I$1000, 8, FALSE) * BaseValue!$C$11</f>
        <v>20</v>
      </c>
      <c r="I9">
        <f>VLOOKUP($A9, TuneValue!$A$2:$I$1000, 9, FALSE) * BaseValue!$C$12</f>
        <v>0</v>
      </c>
      <c r="J9">
        <f>VLOOKUP($A9, TuneValue!$A$2:$J$1000, 10, FALSE) * BaseValue!$C$14</f>
        <v>100</v>
      </c>
      <c r="K9">
        <v>0.85</v>
      </c>
      <c r="L9">
        <v>0.15</v>
      </c>
      <c r="M9">
        <v>0.5</v>
      </c>
      <c r="N9">
        <v>1</v>
      </c>
      <c r="O9">
        <v>0</v>
      </c>
      <c r="P9">
        <v>8</v>
      </c>
      <c r="Q9" t="s">
        <v>16</v>
      </c>
      <c r="R9" t="s">
        <v>25</v>
      </c>
    </row>
    <row r="10" spans="1:18" x14ac:dyDescent="0.3">
      <c r="A10" t="s">
        <v>83</v>
      </c>
      <c r="B10" t="s">
        <v>9</v>
      </c>
      <c r="C10">
        <f>VLOOKUP($A10, TuneValue!$A$2:$J$1000, 3, FALSE) * BaseValue!$C$6</f>
        <v>70</v>
      </c>
      <c r="D10">
        <f>VLOOKUP($A10, TuneValue!$A$2:$I$1000, 4, FALSE) * BaseValue!$C$7</f>
        <v>0.33</v>
      </c>
      <c r="E10">
        <f>VLOOKUP($A10, TuneValue!$A$2:$I$1000, 5, FALSE) * BaseValue!$C$8</f>
        <v>60</v>
      </c>
      <c r="F10">
        <f>VLOOKUP($A10, TuneValue!$A$2:$I$1000, 6, FALSE) * BaseValue!$C$9</f>
        <v>41.25</v>
      </c>
      <c r="G10">
        <f>VLOOKUP($A10, TuneValue!$A$2:$I$1000, 7, FALSE) * BaseValue!$C$10</f>
        <v>1.2375</v>
      </c>
      <c r="H10">
        <f>VLOOKUP($A10, TuneValue!$A$2:$I$1000, 8, FALSE) * BaseValue!$C$11</f>
        <v>20</v>
      </c>
      <c r="I10">
        <f>VLOOKUP($A10, TuneValue!$A$2:$I$1000, 9, FALSE) * BaseValue!$C$12</f>
        <v>0</v>
      </c>
      <c r="J10">
        <f>VLOOKUP($A10, TuneValue!$A$2:$J$1000, 10, FALSE) * BaseValue!$C$14</f>
        <v>100</v>
      </c>
      <c r="K10">
        <v>0.85</v>
      </c>
      <c r="L10">
        <v>0.15</v>
      </c>
      <c r="M10">
        <v>0.5</v>
      </c>
      <c r="N10">
        <v>1</v>
      </c>
      <c r="O10">
        <v>0</v>
      </c>
      <c r="P10">
        <v>8</v>
      </c>
      <c r="Q10" t="s">
        <v>16</v>
      </c>
      <c r="R10" t="s">
        <v>27</v>
      </c>
    </row>
    <row r="11" spans="1:18" x14ac:dyDescent="0.3">
      <c r="A11" t="s">
        <v>95</v>
      </c>
      <c r="B11" t="s">
        <v>9</v>
      </c>
      <c r="C11">
        <f>VLOOKUP($A11, TuneValue!$A$2:$J$1000, 3, FALSE) * BaseValue!$C$6</f>
        <v>100</v>
      </c>
      <c r="D11">
        <f>VLOOKUP($A11, TuneValue!$A$2:$I$1000, 4, FALSE) * BaseValue!$C$7</f>
        <v>1</v>
      </c>
      <c r="E11">
        <f>VLOOKUP($A11, TuneValue!$A$2:$I$1000, 5, FALSE) * BaseValue!$C$8</f>
        <v>900</v>
      </c>
      <c r="F11">
        <f>VLOOKUP($A11, TuneValue!$A$2:$I$1000, 6, FALSE) * BaseValue!$C$9</f>
        <v>37.5</v>
      </c>
      <c r="G11">
        <f>VLOOKUP($A11, TuneValue!$A$2:$I$1000, 7, FALSE) * BaseValue!$C$10</f>
        <v>4.125</v>
      </c>
      <c r="H11">
        <f>VLOOKUP($A11, TuneValue!$A$2:$I$1000, 8, FALSE) * BaseValue!$C$11</f>
        <v>20</v>
      </c>
      <c r="I11">
        <f>VLOOKUP($A11, TuneValue!$A$2:$I$1000, 9, FALSE) * BaseValue!$C$12</f>
        <v>30</v>
      </c>
      <c r="J11">
        <f>VLOOKUP($A11, TuneValue!$A$2:$J$1000, 10, FALSE) * BaseValue!$C$14</f>
        <v>100</v>
      </c>
      <c r="K11">
        <v>0.85</v>
      </c>
      <c r="L11">
        <v>0.15</v>
      </c>
      <c r="M11">
        <v>0.5</v>
      </c>
      <c r="N11">
        <v>1</v>
      </c>
      <c r="O11">
        <v>0</v>
      </c>
      <c r="P11">
        <v>8</v>
      </c>
      <c r="Q11" t="s">
        <v>16</v>
      </c>
      <c r="R11" t="s">
        <v>25</v>
      </c>
    </row>
    <row r="12" spans="1:18" x14ac:dyDescent="0.3">
      <c r="A12" t="s">
        <v>80</v>
      </c>
      <c r="B12" t="s">
        <v>13</v>
      </c>
      <c r="C12">
        <f>VLOOKUP($A12, TuneValue!$A$2:$J$1000, 3, FALSE) * BaseValue!$C$6</f>
        <v>70</v>
      </c>
      <c r="D12">
        <f>VLOOKUP($A12, TuneValue!$A$2:$I$1000, 4, FALSE) * BaseValue!$C$7</f>
        <v>0.33</v>
      </c>
      <c r="E12">
        <f>VLOOKUP($A12, TuneValue!$A$2:$I$1000, 5, FALSE) * BaseValue!$C$8</f>
        <v>75</v>
      </c>
      <c r="F12">
        <f>VLOOKUP($A12, TuneValue!$A$2:$I$1000, 6, FALSE) * BaseValue!$C$9</f>
        <v>41.25</v>
      </c>
      <c r="G12">
        <f>VLOOKUP($A12, TuneValue!$A$2:$I$1000, 7, FALSE) * BaseValue!$C$10</f>
        <v>1.2375</v>
      </c>
      <c r="H12">
        <f>VLOOKUP($A12, TuneValue!$A$2:$I$1000, 8, FALSE) * BaseValue!$C$11</f>
        <v>150</v>
      </c>
      <c r="I12">
        <f>VLOOKUP($A12, TuneValue!$A$2:$I$1000, 9, FALSE) * BaseValue!$C$12</f>
        <v>0</v>
      </c>
      <c r="J12">
        <f>VLOOKUP($A12, TuneValue!$A$2:$J$1000, 10, FALSE) * BaseValue!$C$14</f>
        <v>100</v>
      </c>
      <c r="K12">
        <v>0.85</v>
      </c>
      <c r="L12">
        <v>0.15</v>
      </c>
      <c r="M12">
        <v>0.5</v>
      </c>
      <c r="N12">
        <v>1</v>
      </c>
      <c r="O12">
        <v>0</v>
      </c>
      <c r="P12">
        <v>8</v>
      </c>
      <c r="Q12" t="s">
        <v>16</v>
      </c>
      <c r="R12" t="s">
        <v>27</v>
      </c>
    </row>
    <row r="13" spans="1:18" x14ac:dyDescent="0.3">
      <c r="A13" t="s">
        <v>130</v>
      </c>
      <c r="B13" t="s">
        <v>13</v>
      </c>
      <c r="C13">
        <f>VLOOKUP($A13, TuneValue!$A$2:$J$1000, 3, FALSE) * BaseValue!$C$6</f>
        <v>70</v>
      </c>
      <c r="D13">
        <f>VLOOKUP($A13, TuneValue!$A$2:$I$1000, 4, FALSE) * BaseValue!$C$7</f>
        <v>0.33</v>
      </c>
      <c r="E13">
        <f>VLOOKUP($A13, TuneValue!$A$2:$I$1000, 5, FALSE) * BaseValue!$C$8</f>
        <v>75</v>
      </c>
      <c r="F13">
        <f>VLOOKUP($A13, TuneValue!$A$2:$I$1000, 6, FALSE) * BaseValue!$C$9</f>
        <v>41.25</v>
      </c>
      <c r="G13">
        <f>VLOOKUP($A13, TuneValue!$A$2:$I$1000, 7, FALSE) * BaseValue!$C$10</f>
        <v>1.2375</v>
      </c>
      <c r="H13">
        <f>VLOOKUP($A13, TuneValue!$A$2:$I$1000, 8, FALSE) * BaseValue!$C$11</f>
        <v>150</v>
      </c>
      <c r="I13">
        <f>VLOOKUP($A13, TuneValue!$A$2:$I$1000, 9, FALSE) * BaseValue!$C$12</f>
        <v>0</v>
      </c>
      <c r="J13">
        <f>VLOOKUP($A13, TuneValue!$A$2:$J$1000, 10, FALSE) * BaseValue!$C$14</f>
        <v>100</v>
      </c>
      <c r="K13">
        <v>0.85</v>
      </c>
      <c r="L13">
        <v>0.15</v>
      </c>
      <c r="M13">
        <v>0.5</v>
      </c>
      <c r="N13">
        <v>1</v>
      </c>
      <c r="O13">
        <v>0</v>
      </c>
      <c r="P13">
        <v>8</v>
      </c>
      <c r="Q13" t="s">
        <v>16</v>
      </c>
      <c r="R13" t="s">
        <v>81</v>
      </c>
    </row>
    <row r="14" spans="1:18" x14ac:dyDescent="0.3">
      <c r="A14" t="s">
        <v>131</v>
      </c>
      <c r="B14" t="s">
        <v>13</v>
      </c>
      <c r="C14">
        <f>VLOOKUP($A14, TuneValue!$A$2:$J$1000, 3, FALSE) * BaseValue!$C$6</f>
        <v>70</v>
      </c>
      <c r="D14">
        <f>VLOOKUP($A14, TuneValue!$A$2:$I$1000, 4, FALSE) * BaseValue!$C$7</f>
        <v>0.33</v>
      </c>
      <c r="E14">
        <f>VLOOKUP($A14, TuneValue!$A$2:$I$1000, 5, FALSE) * BaseValue!$C$8</f>
        <v>75</v>
      </c>
      <c r="F14">
        <f>VLOOKUP($A14, TuneValue!$A$2:$I$1000, 6, FALSE) * BaseValue!$C$9</f>
        <v>41.25</v>
      </c>
      <c r="G14">
        <f>VLOOKUP($A14, TuneValue!$A$2:$I$1000, 7, FALSE) * BaseValue!$C$10</f>
        <v>1.2375</v>
      </c>
      <c r="H14">
        <f>VLOOKUP($A14, TuneValue!$A$2:$I$1000, 8, FALSE) * BaseValue!$C$11</f>
        <v>150</v>
      </c>
      <c r="I14">
        <f>VLOOKUP($A14, TuneValue!$A$2:$I$1000, 9, FALSE) * BaseValue!$C$12</f>
        <v>0</v>
      </c>
      <c r="J14">
        <f>VLOOKUP($A14, TuneValue!$A$2:$J$1000, 10, FALSE) * BaseValue!$C$14</f>
        <v>100</v>
      </c>
      <c r="K14">
        <v>0.85</v>
      </c>
      <c r="L14">
        <v>0.15</v>
      </c>
      <c r="M14">
        <v>0.5</v>
      </c>
      <c r="N14">
        <v>1</v>
      </c>
      <c r="O14">
        <v>0</v>
      </c>
      <c r="P14">
        <v>8</v>
      </c>
      <c r="Q14" t="s">
        <v>16</v>
      </c>
      <c r="R14" t="s">
        <v>28</v>
      </c>
    </row>
    <row r="15" spans="1:18" x14ac:dyDescent="0.3">
      <c r="A15" t="s">
        <v>132</v>
      </c>
      <c r="B15" t="s">
        <v>13</v>
      </c>
      <c r="C15">
        <f>VLOOKUP($A15, TuneValue!$A$2:$J$1000, 3, FALSE) * BaseValue!$C$6</f>
        <v>70</v>
      </c>
      <c r="D15">
        <f>VLOOKUP($A15, TuneValue!$A$2:$I$1000, 4, FALSE) * BaseValue!$C$7</f>
        <v>0.33</v>
      </c>
      <c r="E15">
        <f>VLOOKUP($A15, TuneValue!$A$2:$I$1000, 5, FALSE) * BaseValue!$C$8</f>
        <v>75</v>
      </c>
      <c r="F15">
        <f>VLOOKUP($A15, TuneValue!$A$2:$I$1000, 6, FALSE) * BaseValue!$C$9</f>
        <v>41.25</v>
      </c>
      <c r="G15">
        <f>VLOOKUP($A15, TuneValue!$A$2:$I$1000, 7, FALSE) * BaseValue!$C$10</f>
        <v>1.2375</v>
      </c>
      <c r="H15">
        <f>VLOOKUP($A15, TuneValue!$A$2:$I$1000, 8, FALSE) * BaseValue!$C$11</f>
        <v>150</v>
      </c>
      <c r="I15">
        <f>VLOOKUP($A15, TuneValue!$A$2:$I$1000, 9, FALSE) * BaseValue!$C$12</f>
        <v>0</v>
      </c>
      <c r="J15">
        <f>VLOOKUP($A15, TuneValue!$A$2:$J$1000, 10, FALSE) * BaseValue!$C$14</f>
        <v>100</v>
      </c>
      <c r="K15">
        <v>0.85</v>
      </c>
      <c r="L15">
        <v>0.15</v>
      </c>
      <c r="M15">
        <v>0.5</v>
      </c>
      <c r="N15">
        <v>1</v>
      </c>
      <c r="O15">
        <v>0</v>
      </c>
      <c r="P15">
        <v>8</v>
      </c>
      <c r="Q15" t="s">
        <v>16</v>
      </c>
      <c r="R15" t="s">
        <v>25</v>
      </c>
    </row>
    <row r="16" spans="1:18" x14ac:dyDescent="0.3">
      <c r="A16" t="s">
        <v>47</v>
      </c>
      <c r="B16" t="s">
        <v>13</v>
      </c>
      <c r="C16">
        <f>VLOOKUP($A16, TuneValue!$A$2:$J$1000, 3, FALSE) * BaseValue!$C$6</f>
        <v>70</v>
      </c>
      <c r="D16">
        <f>VLOOKUP($A16, TuneValue!$A$2:$I$1000, 4, FALSE) * BaseValue!$C$7</f>
        <v>0.33</v>
      </c>
      <c r="E16">
        <f>VLOOKUP($A16, TuneValue!$A$2:$I$1000, 5, FALSE) * BaseValue!$C$8</f>
        <v>60</v>
      </c>
      <c r="F16">
        <f>VLOOKUP($A16, TuneValue!$A$2:$I$1000, 6, FALSE) * BaseValue!$C$9</f>
        <v>50</v>
      </c>
      <c r="G16">
        <f>VLOOKUP($A16, TuneValue!$A$2:$I$1000, 7, FALSE) * BaseValue!$C$10</f>
        <v>1.2375</v>
      </c>
      <c r="H16">
        <f>VLOOKUP($A16, TuneValue!$A$2:$I$1000, 8, FALSE) * BaseValue!$C$11</f>
        <v>150</v>
      </c>
      <c r="I16">
        <f>VLOOKUP($A16, TuneValue!$A$2:$I$1000, 9, FALSE) * BaseValue!$C$12</f>
        <v>0</v>
      </c>
      <c r="J16">
        <f>VLOOKUP($A16, TuneValue!$A$2:$J$1000, 10, FALSE) * BaseValue!$C$14</f>
        <v>100</v>
      </c>
      <c r="K16">
        <v>0.85</v>
      </c>
      <c r="L16">
        <v>0.15</v>
      </c>
      <c r="M16">
        <v>0.5</v>
      </c>
      <c r="N16">
        <v>1</v>
      </c>
      <c r="O16">
        <v>0</v>
      </c>
      <c r="P16">
        <v>8</v>
      </c>
      <c r="Q16" t="s">
        <v>16</v>
      </c>
      <c r="R16" t="s">
        <v>28</v>
      </c>
    </row>
    <row r="17" spans="1:18" x14ac:dyDescent="0.3">
      <c r="A17" t="s">
        <v>12</v>
      </c>
      <c r="B17" t="s">
        <v>9</v>
      </c>
      <c r="C17">
        <f>VLOOKUP($A17, TuneValue!$A$2:$J$1000, 3, FALSE) * BaseValue!$C$6</f>
        <v>70</v>
      </c>
      <c r="D17">
        <f>VLOOKUP($A17, TuneValue!$A$2:$I$1000, 4, FALSE) * BaseValue!$C$7</f>
        <v>0.33</v>
      </c>
      <c r="E17">
        <f>VLOOKUP($A17, TuneValue!$A$2:$I$1000, 5, FALSE) * BaseValue!$C$8</f>
        <v>75</v>
      </c>
      <c r="F17">
        <f>VLOOKUP($A17, TuneValue!$A$2:$I$1000, 6, FALSE) * BaseValue!$C$9</f>
        <v>41.25</v>
      </c>
      <c r="G17">
        <f>VLOOKUP($A17, TuneValue!$A$2:$I$1000, 7, FALSE) * BaseValue!$C$10</f>
        <v>1.2375</v>
      </c>
      <c r="H17">
        <f>VLOOKUP($A17, TuneValue!$A$2:$I$1000, 8, FALSE) * BaseValue!$C$11</f>
        <v>20</v>
      </c>
      <c r="I17">
        <f>VLOOKUP($A17, TuneValue!$A$2:$I$1000, 9, FALSE) * BaseValue!$C$12</f>
        <v>30</v>
      </c>
      <c r="J17">
        <f>VLOOKUP($A17, TuneValue!$A$2:$J$1000, 10, FALSE) * BaseValue!$C$14</f>
        <v>100</v>
      </c>
      <c r="K17">
        <v>0.85</v>
      </c>
      <c r="L17">
        <v>0.15</v>
      </c>
      <c r="M17">
        <v>0.5</v>
      </c>
      <c r="N17">
        <v>1</v>
      </c>
      <c r="O17">
        <v>0</v>
      </c>
      <c r="P17">
        <v>8</v>
      </c>
      <c r="Q17" t="s">
        <v>16</v>
      </c>
      <c r="R17" t="s">
        <v>25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38CD3-7114-4933-A89B-2C7CCF2C2B3F}">
  <dimension ref="A1:D21"/>
  <sheetViews>
    <sheetView workbookViewId="0">
      <selection activeCell="F10" sqref="F10"/>
    </sheetView>
  </sheetViews>
  <sheetFormatPr defaultRowHeight="16.5" x14ac:dyDescent="0.3"/>
  <cols>
    <col min="2" max="2" width="33.125" bestFit="1" customWidth="1"/>
    <col min="4" max="4" width="22.75" style="1" bestFit="1" customWidth="1"/>
  </cols>
  <sheetData>
    <row r="1" spans="1:4" x14ac:dyDescent="0.3">
      <c r="A1" t="s">
        <v>50</v>
      </c>
      <c r="B1" t="s">
        <v>48</v>
      </c>
      <c r="C1" t="s">
        <v>49</v>
      </c>
      <c r="D1" s="1" t="s">
        <v>69</v>
      </c>
    </row>
    <row r="2" spans="1:4" x14ac:dyDescent="0.3">
      <c r="A2" t="s">
        <v>68</v>
      </c>
      <c r="B2" t="s">
        <v>61</v>
      </c>
      <c r="C2">
        <v>12</v>
      </c>
      <c r="D2" s="1" t="s">
        <v>75</v>
      </c>
    </row>
    <row r="3" spans="1:4" x14ac:dyDescent="0.3">
      <c r="A3" t="s">
        <v>68</v>
      </c>
      <c r="B3" t="s">
        <v>73</v>
      </c>
      <c r="C3">
        <v>0.33</v>
      </c>
    </row>
    <row r="4" spans="1:4" x14ac:dyDescent="0.3">
      <c r="A4" t="s">
        <v>68</v>
      </c>
      <c r="B4" t="s">
        <v>74</v>
      </c>
      <c r="C4">
        <f>$C$2/$C$15</f>
        <v>4</v>
      </c>
    </row>
    <row r="5" spans="1:4" x14ac:dyDescent="0.3">
      <c r="A5" t="s">
        <v>51</v>
      </c>
      <c r="B5" t="s">
        <v>66</v>
      </c>
      <c r="C5">
        <v>0.33</v>
      </c>
    </row>
    <row r="6" spans="1:4" x14ac:dyDescent="0.3">
      <c r="A6" t="s">
        <v>51</v>
      </c>
      <c r="B6" t="s">
        <v>57</v>
      </c>
      <c r="C6">
        <v>100</v>
      </c>
    </row>
    <row r="7" spans="1:4" x14ac:dyDescent="0.3">
      <c r="A7" t="s">
        <v>51</v>
      </c>
      <c r="B7" t="s">
        <v>54</v>
      </c>
      <c r="C7">
        <v>1</v>
      </c>
    </row>
    <row r="8" spans="1:4" x14ac:dyDescent="0.3">
      <c r="A8" t="s">
        <v>51</v>
      </c>
      <c r="B8" t="s">
        <v>52</v>
      </c>
      <c r="C8">
        <v>300</v>
      </c>
    </row>
    <row r="9" spans="1:4" x14ac:dyDescent="0.3">
      <c r="A9" t="s">
        <v>51</v>
      </c>
      <c r="B9" t="s">
        <v>53</v>
      </c>
      <c r="C9">
        <f>$C$8/$C$2</f>
        <v>25</v>
      </c>
    </row>
    <row r="10" spans="1:4" x14ac:dyDescent="0.3">
      <c r="A10" t="s">
        <v>51</v>
      </c>
      <c r="B10" t="s">
        <v>55</v>
      </c>
      <c r="C10">
        <f>C9*C5</f>
        <v>8.25</v>
      </c>
    </row>
    <row r="11" spans="1:4" x14ac:dyDescent="0.3">
      <c r="A11" t="s">
        <v>51</v>
      </c>
      <c r="B11" t="s">
        <v>58</v>
      </c>
      <c r="C11">
        <v>20</v>
      </c>
    </row>
    <row r="12" spans="1:4" x14ac:dyDescent="0.3">
      <c r="A12" t="s">
        <v>51</v>
      </c>
      <c r="B12" t="s">
        <v>59</v>
      </c>
      <c r="C12">
        <v>20</v>
      </c>
    </row>
    <row r="13" spans="1:4" x14ac:dyDescent="0.3">
      <c r="A13" t="s">
        <v>51</v>
      </c>
      <c r="B13" t="s">
        <v>60</v>
      </c>
      <c r="C13">
        <v>14</v>
      </c>
    </row>
    <row r="14" spans="1:4" x14ac:dyDescent="0.3">
      <c r="A14" t="s">
        <v>51</v>
      </c>
      <c r="B14" t="s">
        <v>84</v>
      </c>
      <c r="C14">
        <v>100</v>
      </c>
    </row>
    <row r="15" spans="1:4" x14ac:dyDescent="0.3">
      <c r="A15" t="s">
        <v>62</v>
      </c>
      <c r="B15" t="s">
        <v>63</v>
      </c>
      <c r="C15">
        <v>3</v>
      </c>
    </row>
    <row r="16" spans="1:4" x14ac:dyDescent="0.3">
      <c r="A16" t="s">
        <v>62</v>
      </c>
      <c r="B16" t="s">
        <v>76</v>
      </c>
      <c r="C16">
        <f>$C$3/$C$15</f>
        <v>0.11</v>
      </c>
    </row>
    <row r="17" spans="1:4" x14ac:dyDescent="0.3">
      <c r="A17" t="s">
        <v>62</v>
      </c>
      <c r="B17" t="s">
        <v>64</v>
      </c>
      <c r="C17">
        <f>$C$16*$C$8</f>
        <v>33</v>
      </c>
    </row>
    <row r="18" spans="1:4" x14ac:dyDescent="0.3">
      <c r="A18" t="s">
        <v>62</v>
      </c>
      <c r="B18" t="s">
        <v>65</v>
      </c>
      <c r="C18">
        <f>($C$17+$C$10)/$C$9</f>
        <v>1.65</v>
      </c>
      <c r="D18" s="1" t="s">
        <v>72</v>
      </c>
    </row>
    <row r="19" spans="1:4" x14ac:dyDescent="0.3">
      <c r="A19" t="s">
        <v>62</v>
      </c>
      <c r="B19" t="s">
        <v>67</v>
      </c>
      <c r="C19">
        <f>$C$4*$C$9</f>
        <v>100</v>
      </c>
    </row>
    <row r="20" spans="1:4" x14ac:dyDescent="0.3">
      <c r="A20" t="s">
        <v>62</v>
      </c>
      <c r="B20" t="s">
        <v>70</v>
      </c>
      <c r="C20">
        <f>$C$19/$C$8</f>
        <v>0.33333333333333331</v>
      </c>
      <c r="D20" s="1" t="s">
        <v>71</v>
      </c>
    </row>
    <row r="21" spans="1:4" x14ac:dyDescent="0.3">
      <c r="A21" t="s">
        <v>62</v>
      </c>
      <c r="B21" t="s">
        <v>77</v>
      </c>
      <c r="C21">
        <f>$C$7/$C$15</f>
        <v>0.33333333333333331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3FF34-D9F4-4AAE-87FB-12C1CDF812E7}">
  <dimension ref="A1:J17"/>
  <sheetViews>
    <sheetView workbookViewId="0">
      <selection activeCell="F6" sqref="F6"/>
    </sheetView>
  </sheetViews>
  <sheetFormatPr defaultRowHeight="16.5" x14ac:dyDescent="0.3"/>
  <cols>
    <col min="1" max="1" width="13.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10</v>
      </c>
      <c r="J1" t="s">
        <v>85</v>
      </c>
    </row>
    <row r="2" spans="1:10" x14ac:dyDescent="0.3">
      <c r="A2" t="s">
        <v>114</v>
      </c>
      <c r="B2" t="s">
        <v>14</v>
      </c>
      <c r="C2">
        <v>1</v>
      </c>
      <c r="D2">
        <v>1</v>
      </c>
      <c r="E2">
        <v>1.3</v>
      </c>
      <c r="F2">
        <v>0.9</v>
      </c>
      <c r="G2">
        <v>1.3</v>
      </c>
      <c r="H2">
        <v>1</v>
      </c>
      <c r="I2">
        <v>1.25</v>
      </c>
      <c r="J2">
        <v>1</v>
      </c>
    </row>
    <row r="3" spans="1:10" x14ac:dyDescent="0.3">
      <c r="A3" t="s">
        <v>118</v>
      </c>
      <c r="B3" t="s">
        <v>14</v>
      </c>
      <c r="C3">
        <v>1</v>
      </c>
      <c r="D3">
        <v>2</v>
      </c>
      <c r="E3">
        <v>0.5</v>
      </c>
      <c r="F3">
        <v>1.45</v>
      </c>
      <c r="G3">
        <v>1</v>
      </c>
      <c r="H3">
        <v>0.75</v>
      </c>
      <c r="I3">
        <v>0</v>
      </c>
      <c r="J3">
        <v>1</v>
      </c>
    </row>
    <row r="4" spans="1:10" x14ac:dyDescent="0.3">
      <c r="A4" t="s">
        <v>46</v>
      </c>
      <c r="B4" t="s">
        <v>14</v>
      </c>
      <c r="C4">
        <v>1</v>
      </c>
      <c r="D4">
        <v>0.75</v>
      </c>
      <c r="E4">
        <v>0.75</v>
      </c>
      <c r="F4">
        <v>2.5</v>
      </c>
      <c r="G4">
        <v>1</v>
      </c>
      <c r="H4">
        <v>10</v>
      </c>
      <c r="I4">
        <v>0</v>
      </c>
      <c r="J4">
        <v>1</v>
      </c>
    </row>
    <row r="5" spans="1:10" x14ac:dyDescent="0.3">
      <c r="A5" t="s">
        <v>121</v>
      </c>
      <c r="B5" t="s">
        <v>14</v>
      </c>
      <c r="C5">
        <v>1</v>
      </c>
      <c r="D5">
        <v>1</v>
      </c>
      <c r="E5">
        <v>2</v>
      </c>
      <c r="F5">
        <v>0.5</v>
      </c>
      <c r="G5">
        <v>3</v>
      </c>
      <c r="H5">
        <v>0.75</v>
      </c>
      <c r="I5">
        <v>1.25</v>
      </c>
      <c r="J5">
        <v>1</v>
      </c>
    </row>
    <row r="6" spans="1:10" x14ac:dyDescent="0.3">
      <c r="A6" t="s">
        <v>124</v>
      </c>
      <c r="B6" t="s">
        <v>14</v>
      </c>
      <c r="C6">
        <v>1</v>
      </c>
      <c r="D6">
        <v>1</v>
      </c>
      <c r="E6">
        <v>0.5</v>
      </c>
      <c r="F6">
        <v>1</v>
      </c>
      <c r="G6">
        <v>1</v>
      </c>
      <c r="H6">
        <v>7.5</v>
      </c>
      <c r="I6">
        <v>2</v>
      </c>
      <c r="J6">
        <v>1</v>
      </c>
    </row>
    <row r="7" spans="1:10" x14ac:dyDescent="0.3">
      <c r="A7" t="s">
        <v>82</v>
      </c>
      <c r="B7" t="s">
        <v>9</v>
      </c>
      <c r="C7">
        <v>0.7</v>
      </c>
      <c r="D7">
        <v>0.33</v>
      </c>
      <c r="E7">
        <v>0.25</v>
      </c>
      <c r="F7">
        <v>1.65</v>
      </c>
      <c r="G7">
        <v>0</v>
      </c>
      <c r="H7">
        <v>2</v>
      </c>
      <c r="I7">
        <v>0</v>
      </c>
      <c r="J7">
        <v>1</v>
      </c>
    </row>
    <row r="8" spans="1:10" x14ac:dyDescent="0.3">
      <c r="A8" t="s">
        <v>125</v>
      </c>
      <c r="B8" t="s">
        <v>13</v>
      </c>
      <c r="C8">
        <v>0.7</v>
      </c>
      <c r="D8">
        <v>0.16500000000000001</v>
      </c>
      <c r="E8">
        <v>0.25</v>
      </c>
      <c r="F8">
        <v>1.1000000000000001</v>
      </c>
      <c r="G8">
        <v>0.15</v>
      </c>
      <c r="H8">
        <v>7.5</v>
      </c>
      <c r="I8">
        <v>0</v>
      </c>
      <c r="J8">
        <v>1</v>
      </c>
    </row>
    <row r="9" spans="1:10" x14ac:dyDescent="0.3">
      <c r="A9" t="s">
        <v>78</v>
      </c>
      <c r="B9" t="s">
        <v>9</v>
      </c>
      <c r="C9">
        <v>0.7</v>
      </c>
      <c r="D9">
        <v>0.33</v>
      </c>
      <c r="E9">
        <v>0.35</v>
      </c>
      <c r="F9">
        <v>1.35</v>
      </c>
      <c r="G9">
        <v>0.15</v>
      </c>
      <c r="H9">
        <v>1</v>
      </c>
      <c r="I9">
        <v>0</v>
      </c>
      <c r="J9">
        <v>1</v>
      </c>
    </row>
    <row r="10" spans="1:10" x14ac:dyDescent="0.3">
      <c r="A10" t="s">
        <v>83</v>
      </c>
      <c r="B10" t="s">
        <v>9</v>
      </c>
      <c r="C10">
        <v>0.7</v>
      </c>
      <c r="D10">
        <v>0.33</v>
      </c>
      <c r="E10">
        <v>0.2</v>
      </c>
      <c r="F10">
        <v>1.65</v>
      </c>
      <c r="G10">
        <v>0.15</v>
      </c>
      <c r="H10">
        <v>1</v>
      </c>
      <c r="I10">
        <v>0</v>
      </c>
      <c r="J10">
        <v>1</v>
      </c>
    </row>
    <row r="11" spans="1:10" x14ac:dyDescent="0.3">
      <c r="A11" t="s">
        <v>94</v>
      </c>
      <c r="B11" t="s">
        <v>9</v>
      </c>
      <c r="C11">
        <v>1</v>
      </c>
      <c r="D11">
        <v>1</v>
      </c>
      <c r="E11">
        <v>3</v>
      </c>
      <c r="F11">
        <v>1.5</v>
      </c>
      <c r="G11">
        <v>0.5</v>
      </c>
      <c r="H11">
        <v>1</v>
      </c>
      <c r="I11">
        <v>1.5</v>
      </c>
      <c r="J11">
        <v>1</v>
      </c>
    </row>
    <row r="12" spans="1:10" x14ac:dyDescent="0.3">
      <c r="A12" t="s">
        <v>79</v>
      </c>
      <c r="B12" t="s">
        <v>13</v>
      </c>
      <c r="C12">
        <v>0.7</v>
      </c>
      <c r="D12">
        <v>0.33</v>
      </c>
      <c r="E12">
        <v>0.25</v>
      </c>
      <c r="F12">
        <v>1.65</v>
      </c>
      <c r="G12">
        <v>0.15</v>
      </c>
      <c r="H12">
        <v>7.5</v>
      </c>
      <c r="I12">
        <v>0</v>
      </c>
      <c r="J12">
        <v>1</v>
      </c>
    </row>
    <row r="13" spans="1:10" x14ac:dyDescent="0.3">
      <c r="A13" t="s">
        <v>130</v>
      </c>
      <c r="B13" t="s">
        <v>13</v>
      </c>
      <c r="C13">
        <v>0.7</v>
      </c>
      <c r="D13">
        <v>0.33</v>
      </c>
      <c r="E13">
        <v>0.25</v>
      </c>
      <c r="F13">
        <v>1.65</v>
      </c>
      <c r="G13">
        <v>0.15</v>
      </c>
      <c r="H13">
        <v>7.5</v>
      </c>
      <c r="I13">
        <v>0</v>
      </c>
      <c r="J13">
        <v>1</v>
      </c>
    </row>
    <row r="14" spans="1:10" x14ac:dyDescent="0.3">
      <c r="A14" t="s">
        <v>131</v>
      </c>
      <c r="B14" t="s">
        <v>13</v>
      </c>
      <c r="C14">
        <v>0.7</v>
      </c>
      <c r="D14">
        <v>0.33</v>
      </c>
      <c r="E14">
        <v>0.25</v>
      </c>
      <c r="F14">
        <v>1.65</v>
      </c>
      <c r="G14">
        <v>0.15</v>
      </c>
      <c r="H14">
        <v>7.5</v>
      </c>
      <c r="I14">
        <v>0</v>
      </c>
      <c r="J14">
        <v>1</v>
      </c>
    </row>
    <row r="15" spans="1:10" x14ac:dyDescent="0.3">
      <c r="A15" t="s">
        <v>132</v>
      </c>
      <c r="B15" t="s">
        <v>13</v>
      </c>
      <c r="C15">
        <v>0.7</v>
      </c>
      <c r="D15">
        <v>0.33</v>
      </c>
      <c r="E15">
        <v>0.25</v>
      </c>
      <c r="F15">
        <v>1.65</v>
      </c>
      <c r="G15">
        <v>0.15</v>
      </c>
      <c r="H15">
        <v>7.5</v>
      </c>
      <c r="I15">
        <v>0</v>
      </c>
      <c r="J15">
        <v>1</v>
      </c>
    </row>
    <row r="16" spans="1:10" x14ac:dyDescent="0.3">
      <c r="A16" t="s">
        <v>47</v>
      </c>
      <c r="B16" t="s">
        <v>13</v>
      </c>
      <c r="C16">
        <v>0.7</v>
      </c>
      <c r="D16">
        <v>0.33</v>
      </c>
      <c r="E16">
        <v>0.2</v>
      </c>
      <c r="F16">
        <v>2</v>
      </c>
      <c r="G16">
        <v>0.15</v>
      </c>
      <c r="H16">
        <v>7.5</v>
      </c>
      <c r="I16">
        <v>0</v>
      </c>
      <c r="J16">
        <v>1</v>
      </c>
    </row>
    <row r="17" spans="1:10" x14ac:dyDescent="0.3">
      <c r="A17" t="s">
        <v>12</v>
      </c>
      <c r="B17" t="s">
        <v>9</v>
      </c>
      <c r="C17">
        <v>0.7</v>
      </c>
      <c r="D17">
        <v>0.33</v>
      </c>
      <c r="E17">
        <v>0.25</v>
      </c>
      <c r="F17">
        <v>1.65</v>
      </c>
      <c r="G17">
        <v>0.15</v>
      </c>
      <c r="H17">
        <v>1</v>
      </c>
      <c r="I17">
        <v>1.5</v>
      </c>
      <c r="J17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F9EA9-AACA-4396-A908-B0C688A0B33C}">
  <dimension ref="A1:L17"/>
  <sheetViews>
    <sheetView tabSelected="1" workbookViewId="0">
      <selection activeCell="K10" sqref="K10"/>
    </sheetView>
  </sheetViews>
  <sheetFormatPr defaultRowHeight="16.5" x14ac:dyDescent="0.3"/>
  <cols>
    <col min="1" max="1" width="19.875" style="3" bestFit="1" customWidth="1"/>
    <col min="2" max="2" width="7.125" style="2" bestFit="1" customWidth="1"/>
    <col min="3" max="3" width="5.25" style="2" bestFit="1" customWidth="1"/>
    <col min="4" max="5" width="9" style="2"/>
    <col min="6" max="6" width="18.625" style="2" bestFit="1" customWidth="1"/>
    <col min="7" max="7" width="12.375" style="2" bestFit="1" customWidth="1"/>
    <col min="8" max="9" width="9.375" style="2" bestFit="1" customWidth="1"/>
    <col min="10" max="10" width="24.875" style="2" bestFit="1" customWidth="1"/>
    <col min="11" max="11" width="32.75" style="2" bestFit="1" customWidth="1"/>
    <col min="12" max="12" width="29" bestFit="1" customWidth="1"/>
  </cols>
  <sheetData>
    <row r="1" spans="1:12" x14ac:dyDescent="0.3">
      <c r="A1" s="3" t="s">
        <v>0</v>
      </c>
      <c r="B1" s="2" t="s">
        <v>19</v>
      </c>
      <c r="C1" s="2" t="s">
        <v>142</v>
      </c>
      <c r="D1" s="2" t="s">
        <v>144</v>
      </c>
      <c r="E1" s="2" t="s">
        <v>143</v>
      </c>
      <c r="F1" s="2" t="s">
        <v>23</v>
      </c>
      <c r="G1" s="2" t="s">
        <v>22</v>
      </c>
      <c r="H1" s="2" t="s">
        <v>20</v>
      </c>
      <c r="I1" s="2" t="s">
        <v>21</v>
      </c>
      <c r="J1" s="2" t="s">
        <v>145</v>
      </c>
      <c r="K1" s="2" t="s">
        <v>146</v>
      </c>
      <c r="L1" t="s">
        <v>97</v>
      </c>
    </row>
    <row r="2" spans="1:12" x14ac:dyDescent="0.3">
      <c r="A2" s="3" t="s">
        <v>114</v>
      </c>
      <c r="B2" s="2">
        <f>VLOOKUP($A2, Units!$A$2:$I$1000, 6, FALSE)</f>
        <v>22.5</v>
      </c>
      <c r="C2" s="2">
        <f>VLOOKUP($A2, Units!$A$2:$I$1000, 5, FALSE)</f>
        <v>390</v>
      </c>
      <c r="D2" s="2">
        <f>VLOOKUP($A2, Units!$A$2:$I$1000, 4, FALSE)</f>
        <v>1</v>
      </c>
      <c r="E2" s="2">
        <f>VLOOKUP($A2, Units!$A$2:$I$1000, 9, FALSE)</f>
        <v>25</v>
      </c>
      <c r="F2" s="2">
        <f>E2/2</f>
        <v>12.5</v>
      </c>
      <c r="G2" s="2">
        <f>IF(E2=0,1,_xlfn.CEILING.MATH(0.9069*(F2*F2)/(BaseValue!$C$13*BaseValue!$C$13)))</f>
        <v>1</v>
      </c>
      <c r="H2" s="2">
        <f>B2*D2</f>
        <v>22.5</v>
      </c>
      <c r="I2" s="2">
        <f>H2*G2</f>
        <v>22.5</v>
      </c>
      <c r="J2" s="2">
        <f>C2/BaseValue!$C$9</f>
        <v>15.6</v>
      </c>
      <c r="K2" s="2">
        <f>ROUND(BaseValue!$C$8/(B2*D2), 2)</f>
        <v>13.33</v>
      </c>
      <c r="L2" t="s">
        <v>137</v>
      </c>
    </row>
    <row r="3" spans="1:12" x14ac:dyDescent="0.3">
      <c r="A3" s="3" t="s">
        <v>118</v>
      </c>
      <c r="B3" s="2">
        <f>VLOOKUP($A3, Units!$A$2:$I$1000, 6, FALSE)</f>
        <v>36.25</v>
      </c>
      <c r="C3" s="2">
        <f>VLOOKUP($A3, Units!$A$2:$I$1000, 5, FALSE)</f>
        <v>150</v>
      </c>
      <c r="D3" s="2">
        <f>VLOOKUP($A3, Units!$A$2:$I$1000, 4, FALSE)</f>
        <v>2</v>
      </c>
      <c r="E3" s="2">
        <f>VLOOKUP($A3, Units!$A$2:$I$1000, 9, FALSE)</f>
        <v>0</v>
      </c>
      <c r="F3" s="2">
        <f t="shared" ref="F3:F8" si="0">E3/2</f>
        <v>0</v>
      </c>
      <c r="G3" s="2">
        <f>IF(E3=0,1,_xlfn.CEILING.MATH(0.9069*(F3*F3)/(BaseValue!$C$13*BaseValue!$C$13)))</f>
        <v>1</v>
      </c>
      <c r="H3" s="2">
        <f t="shared" ref="H3:H8" si="1">B3*D3</f>
        <v>72.5</v>
      </c>
      <c r="I3" s="2">
        <f t="shared" ref="I3:I8" si="2">H3*G3</f>
        <v>72.5</v>
      </c>
      <c r="J3" s="2">
        <f>C3/BaseValue!$C$9</f>
        <v>6</v>
      </c>
      <c r="K3" s="2">
        <f>ROUND(BaseValue!$C$8/(B3*D3), 2)</f>
        <v>4.1399999999999997</v>
      </c>
      <c r="L3" t="s">
        <v>141</v>
      </c>
    </row>
    <row r="4" spans="1:12" x14ac:dyDescent="0.3">
      <c r="A4" s="3" t="s">
        <v>46</v>
      </c>
      <c r="B4" s="2">
        <f>VLOOKUP($A4, Units!$A$2:$I$1000, 6, FALSE)</f>
        <v>62.5</v>
      </c>
      <c r="C4" s="2">
        <f>VLOOKUP($A4, Units!$A$2:$I$1000, 5, FALSE)</f>
        <v>225</v>
      </c>
      <c r="D4" s="2">
        <f>VLOOKUP($A4, Units!$A$2:$I$1000, 4, FALSE)</f>
        <v>0.75</v>
      </c>
      <c r="E4" s="2">
        <f>VLOOKUP($A4, Units!$A$2:$I$1000, 9, FALSE)</f>
        <v>0</v>
      </c>
      <c r="F4" s="2">
        <f t="shared" si="0"/>
        <v>0</v>
      </c>
      <c r="G4" s="2">
        <f>IF(E4=0,1,_xlfn.CEILING.MATH(0.9069*(F4*F4)/(BaseValue!$C$13*BaseValue!$C$13)))</f>
        <v>1</v>
      </c>
      <c r="H4" s="2">
        <f>B4*D4</f>
        <v>46.875</v>
      </c>
      <c r="I4" s="2">
        <f t="shared" si="2"/>
        <v>46.875</v>
      </c>
      <c r="J4" s="2">
        <f>C4/BaseValue!$C$9</f>
        <v>9</v>
      </c>
      <c r="K4" s="2">
        <f>ROUND(BaseValue!$C$8/(B4*D4), 2)</f>
        <v>6.4</v>
      </c>
      <c r="L4" t="s">
        <v>138</v>
      </c>
    </row>
    <row r="5" spans="1:12" x14ac:dyDescent="0.3">
      <c r="A5" s="3" t="s">
        <v>121</v>
      </c>
      <c r="B5" s="2">
        <f>VLOOKUP($A5, Units!$A$2:$I$1000, 6, FALSE)</f>
        <v>12.5</v>
      </c>
      <c r="C5" s="2">
        <f>VLOOKUP($A5, Units!$A$2:$I$1000, 5, FALSE)</f>
        <v>600</v>
      </c>
      <c r="D5" s="2">
        <f>VLOOKUP($A5, Units!$A$2:$I$1000, 4, FALSE)</f>
        <v>1</v>
      </c>
      <c r="E5" s="2">
        <f>VLOOKUP($A5, Units!$A$2:$I$1000, 9, FALSE)</f>
        <v>25</v>
      </c>
      <c r="F5" s="2">
        <f t="shared" si="0"/>
        <v>12.5</v>
      </c>
      <c r="G5" s="2">
        <f>IF(E5=0,1,_xlfn.CEILING.MATH(0.9069*(F5*F5)/(BaseValue!$C$13*BaseValue!$C$13)))</f>
        <v>1</v>
      </c>
      <c r="H5" s="2">
        <f t="shared" si="1"/>
        <v>12.5</v>
      </c>
      <c r="I5" s="2">
        <f t="shared" si="2"/>
        <v>12.5</v>
      </c>
      <c r="J5" s="2">
        <f>C5/BaseValue!$C$9</f>
        <v>24</v>
      </c>
      <c r="K5" s="2">
        <f>ROUND(BaseValue!$C$8/(B5*D5), 2)</f>
        <v>24</v>
      </c>
      <c r="L5" t="s">
        <v>139</v>
      </c>
    </row>
    <row r="6" spans="1:12" x14ac:dyDescent="0.3">
      <c r="A6" s="3" t="s">
        <v>124</v>
      </c>
      <c r="B6" s="2">
        <f>VLOOKUP($A6, Units!$A$2:$I$1000, 6, FALSE)</f>
        <v>25</v>
      </c>
      <c r="C6" s="2">
        <f>VLOOKUP($A6, Units!$A$2:$I$1000, 5, FALSE)</f>
        <v>150</v>
      </c>
      <c r="D6" s="2">
        <f>VLOOKUP($A6, Units!$A$2:$I$1000, 4, FALSE)</f>
        <v>1</v>
      </c>
      <c r="E6" s="2">
        <f>VLOOKUP($A6, Units!$A$2:$I$1000, 9, FALSE)</f>
        <v>40</v>
      </c>
      <c r="F6" s="2">
        <f t="shared" si="0"/>
        <v>20</v>
      </c>
      <c r="G6" s="2">
        <f>IF(E6=0,1,_xlfn.CEILING.MATH(0.9069*(F6*F6)/(BaseValue!$C$13*BaseValue!$C$13)))</f>
        <v>2</v>
      </c>
      <c r="H6" s="2">
        <f t="shared" ref="H6" si="3">B6*D6</f>
        <v>25</v>
      </c>
      <c r="I6" s="2">
        <f t="shared" ref="I6" si="4">H6*G6</f>
        <v>50</v>
      </c>
      <c r="J6" s="2">
        <f>C6/BaseValue!$C$9</f>
        <v>6</v>
      </c>
      <c r="K6" s="2">
        <f>ROUND(BaseValue!$C$8/(B6*D6), 2)</f>
        <v>12</v>
      </c>
      <c r="L6" t="s">
        <v>140</v>
      </c>
    </row>
    <row r="7" spans="1:12" x14ac:dyDescent="0.3">
      <c r="A7" s="3" t="s">
        <v>82</v>
      </c>
      <c r="B7" s="2">
        <f>VLOOKUP($A7, Units!$A$2:$I$1000, 6, FALSE)</f>
        <v>41.25</v>
      </c>
      <c r="C7" s="2">
        <f>VLOOKUP($A7, Units!$A$2:$I$1000, 5, FALSE)</f>
        <v>75</v>
      </c>
      <c r="D7" s="2">
        <f>VLOOKUP($A7, Units!$A$2:$I$1000, 4, FALSE)</f>
        <v>0.33</v>
      </c>
      <c r="E7" s="2">
        <f>VLOOKUP($A7, Units!$A$2:$I$1000, 9, FALSE)</f>
        <v>0</v>
      </c>
      <c r="F7" s="2">
        <f t="shared" si="0"/>
        <v>0</v>
      </c>
      <c r="G7" s="2">
        <f>IF(E7=0,1,_xlfn.CEILING.MATH(0.9069*(F7*F7)/(BaseValue!$C$13*BaseValue!$C$13)))</f>
        <v>1</v>
      </c>
      <c r="H7" s="2">
        <f t="shared" si="1"/>
        <v>13.612500000000001</v>
      </c>
      <c r="I7" s="2">
        <f t="shared" si="2"/>
        <v>13.612500000000001</v>
      </c>
      <c r="J7" s="2">
        <f>C7/BaseValue!$C$9</f>
        <v>3</v>
      </c>
      <c r="K7" s="2">
        <f>ROUND(BaseValue!$C$8/(B7*D7), 2)</f>
        <v>22.04</v>
      </c>
      <c r="L7" t="s">
        <v>99</v>
      </c>
    </row>
    <row r="8" spans="1:12" x14ac:dyDescent="0.3">
      <c r="A8" s="3" t="s">
        <v>125</v>
      </c>
      <c r="B8" s="2">
        <f>VLOOKUP($A8, Units!$A$2:$I$1000, 6, FALSE)</f>
        <v>27.500000000000004</v>
      </c>
      <c r="C8" s="2">
        <f>VLOOKUP($A8, Units!$A$2:$I$1000, 5, FALSE)</f>
        <v>75</v>
      </c>
      <c r="D8" s="2">
        <f>VLOOKUP($A8, Units!$A$2:$I$1000, 4, FALSE)</f>
        <v>0.16500000000000001</v>
      </c>
      <c r="E8" s="2">
        <f>VLOOKUP($A8, Units!$A$2:$I$1000, 9, FALSE)</f>
        <v>0</v>
      </c>
      <c r="F8" s="2">
        <f t="shared" si="0"/>
        <v>0</v>
      </c>
      <c r="G8" s="2">
        <f>IF(E8=0,1,_xlfn.CEILING.MATH(0.9069*(F8*F8)/(BaseValue!$C$13*BaseValue!$C$13)))</f>
        <v>1</v>
      </c>
      <c r="H8" s="2">
        <f t="shared" si="1"/>
        <v>4.5375000000000005</v>
      </c>
      <c r="I8" s="2">
        <f t="shared" si="2"/>
        <v>4.5375000000000005</v>
      </c>
      <c r="J8" s="2">
        <f>C8/BaseValue!$C$9</f>
        <v>3</v>
      </c>
      <c r="K8" s="2">
        <f>ROUND(BaseValue!$C$8/(B8*D8), 2)</f>
        <v>66.12</v>
      </c>
      <c r="L8" t="s">
        <v>100</v>
      </c>
    </row>
    <row r="9" spans="1:12" x14ac:dyDescent="0.3">
      <c r="A9" s="3" t="s">
        <v>78</v>
      </c>
      <c r="B9" s="2">
        <f>VLOOKUP($A9, Units!$A$2:$I$1000, 6, FALSE)</f>
        <v>33.75</v>
      </c>
      <c r="C9" s="2">
        <f>VLOOKUP($A9, Units!$A$2:$I$1000, 5, FALSE)</f>
        <v>105</v>
      </c>
      <c r="D9" s="2">
        <f>VLOOKUP($A9, Units!$A$2:$I$1000, 4, FALSE)</f>
        <v>0.33</v>
      </c>
      <c r="E9" s="2">
        <f>VLOOKUP($A9, Units!$A$2:$I$1000, 9, FALSE)</f>
        <v>0</v>
      </c>
      <c r="F9" s="2">
        <f t="shared" ref="F9:F10" si="5">E9/2</f>
        <v>0</v>
      </c>
      <c r="G9" s="2">
        <f>IF(E9=0,1,_xlfn.CEILING.MATH(0.9069*(F9*F9)/(BaseValue!$C$13*BaseValue!$C$13)))</f>
        <v>1</v>
      </c>
      <c r="H9" s="2">
        <f t="shared" ref="H9:H10" si="6">B9*D9</f>
        <v>11.137500000000001</v>
      </c>
      <c r="I9" s="2">
        <f t="shared" ref="I9:I10" si="7">H9*G9</f>
        <v>11.137500000000001</v>
      </c>
      <c r="J9" s="2">
        <f>C9/BaseValue!$C$9</f>
        <v>4.2</v>
      </c>
      <c r="K9" s="2">
        <f>ROUND(BaseValue!$C$8/(B9*D9), 2)</f>
        <v>26.94</v>
      </c>
      <c r="L9" t="s">
        <v>102</v>
      </c>
    </row>
    <row r="10" spans="1:12" x14ac:dyDescent="0.3">
      <c r="A10" s="3" t="s">
        <v>83</v>
      </c>
      <c r="B10" s="2">
        <f>VLOOKUP($A10, Units!$A$2:$I$1000, 6, FALSE)</f>
        <v>41.25</v>
      </c>
      <c r="C10" s="2">
        <f>VLOOKUP($A10, Units!$A$2:$I$1000, 5, FALSE)</f>
        <v>60</v>
      </c>
      <c r="D10" s="2">
        <f>VLOOKUP($A10, Units!$A$2:$I$1000, 4, FALSE)</f>
        <v>0.33</v>
      </c>
      <c r="E10" s="2">
        <f>VLOOKUP($A10, Units!$A$2:$I$1000, 9, FALSE)</f>
        <v>0</v>
      </c>
      <c r="F10" s="2">
        <f t="shared" si="5"/>
        <v>0</v>
      </c>
      <c r="G10" s="2">
        <f>IF(E10=0,1,_xlfn.CEILING.MATH(0.9069*(F10*F10)/(BaseValue!$C$13*BaseValue!$C$13)))</f>
        <v>1</v>
      </c>
      <c r="H10" s="2">
        <f t="shared" si="6"/>
        <v>13.612500000000001</v>
      </c>
      <c r="I10" s="2">
        <f t="shared" si="7"/>
        <v>13.612500000000001</v>
      </c>
      <c r="J10" s="2">
        <f>C10/BaseValue!$C$9</f>
        <v>2.4</v>
      </c>
      <c r="K10" s="2">
        <f>ROUND(BaseValue!$C$8/(B10*D10), 2)</f>
        <v>22.04</v>
      </c>
      <c r="L10" t="s">
        <v>98</v>
      </c>
    </row>
    <row r="11" spans="1:12" x14ac:dyDescent="0.3">
      <c r="A11" s="3" t="s">
        <v>94</v>
      </c>
      <c r="B11" s="2">
        <f>VLOOKUP($A11, Units!$A$2:$I$1000, 6, FALSE)</f>
        <v>37.5</v>
      </c>
      <c r="C11" s="2">
        <f>VLOOKUP($A11, Units!$A$2:$I$1000, 5, FALSE)</f>
        <v>900</v>
      </c>
      <c r="D11" s="2">
        <f>VLOOKUP($A11, Units!$A$2:$I$1000, 4, FALSE)</f>
        <v>1</v>
      </c>
      <c r="E11" s="2">
        <f>VLOOKUP($A11, Units!$A$2:$I$1000, 9, FALSE)</f>
        <v>30</v>
      </c>
      <c r="F11" s="2">
        <f t="shared" ref="F11" si="8">E11/2</f>
        <v>15</v>
      </c>
      <c r="G11" s="2">
        <f>IF(E11=0,1,_xlfn.CEILING.MATH(0.9069*(F11*F11)/(BaseValue!$C$13*BaseValue!$C$13)))</f>
        <v>2</v>
      </c>
      <c r="H11" s="2">
        <f t="shared" ref="H11" si="9">B11*D11</f>
        <v>37.5</v>
      </c>
      <c r="I11" s="2">
        <f t="shared" ref="I11" si="10">H11*G11</f>
        <v>75</v>
      </c>
      <c r="J11" s="2">
        <f>C11/BaseValue!$C$9</f>
        <v>36</v>
      </c>
      <c r="K11" s="2">
        <f>ROUND(BaseValue!$C$8/(B11*D11), 2)</f>
        <v>8</v>
      </c>
      <c r="L11" t="s">
        <v>103</v>
      </c>
    </row>
    <row r="12" spans="1:12" x14ac:dyDescent="0.3">
      <c r="A12" s="3" t="s">
        <v>79</v>
      </c>
      <c r="B12" s="2">
        <f>VLOOKUP($A12, Units!$A$2:$I$1000, 6, FALSE)</f>
        <v>41.25</v>
      </c>
      <c r="C12" s="2">
        <f>VLOOKUP($A12, Units!$A$2:$I$1000, 5, FALSE)</f>
        <v>75</v>
      </c>
      <c r="D12" s="2">
        <f>VLOOKUP($A12, Units!$A$2:$I$1000, 4, FALSE)</f>
        <v>0.33</v>
      </c>
      <c r="E12" s="2">
        <f>VLOOKUP($A12, Units!$A$2:$I$1000, 9, FALSE)</f>
        <v>0</v>
      </c>
      <c r="F12" s="2">
        <f t="shared" ref="F12" si="11">E12/2</f>
        <v>0</v>
      </c>
      <c r="G12" s="2">
        <f>IF(E12=0,1,_xlfn.CEILING.MATH(0.9069*(F12*F12)/(BaseValue!$C$13*BaseValue!$C$13)))</f>
        <v>1</v>
      </c>
      <c r="H12" s="2">
        <f t="shared" ref="H12" si="12">B12*D12</f>
        <v>13.612500000000001</v>
      </c>
      <c r="I12" s="2">
        <f t="shared" ref="I12" si="13">H12*G12</f>
        <v>13.612500000000001</v>
      </c>
      <c r="J12" s="2">
        <f>C12/BaseValue!$C$9</f>
        <v>3</v>
      </c>
      <c r="K12" s="2">
        <f>ROUND(BaseValue!$C$8/(B12*D12), 2)</f>
        <v>22.04</v>
      </c>
      <c r="L12" t="s">
        <v>104</v>
      </c>
    </row>
    <row r="13" spans="1:12" x14ac:dyDescent="0.3">
      <c r="A13" s="3" t="s">
        <v>130</v>
      </c>
      <c r="B13" s="2">
        <f>VLOOKUP($A13, Units!$A$2:$I$1000, 6, FALSE)</f>
        <v>41.25</v>
      </c>
      <c r="C13" s="2">
        <f>VLOOKUP($A13, Units!$A$2:$I$1000, 5, FALSE)</f>
        <v>75</v>
      </c>
      <c r="D13" s="2">
        <f>VLOOKUP($A13, Units!$A$2:$I$1000, 4, FALSE)</f>
        <v>0.33</v>
      </c>
      <c r="E13" s="2">
        <f>VLOOKUP($A13, Units!$A$2:$I$1000, 9, FALSE)</f>
        <v>0</v>
      </c>
      <c r="F13" s="2">
        <f t="shared" ref="F13:F17" si="14">E13/2</f>
        <v>0</v>
      </c>
      <c r="G13" s="2">
        <f>IF(E13=0,1,_xlfn.CEILING.MATH(0.9069*(F13*F13)/(BaseValue!$C$13*BaseValue!$C$13)))</f>
        <v>1</v>
      </c>
      <c r="H13" s="2">
        <f t="shared" ref="H13:H17" si="15">B13*D13</f>
        <v>13.612500000000001</v>
      </c>
      <c r="I13" s="2">
        <f t="shared" ref="I13:I17" si="16">H13*G13</f>
        <v>13.612500000000001</v>
      </c>
      <c r="J13" s="2">
        <f>C13/BaseValue!$C$9</f>
        <v>3</v>
      </c>
      <c r="K13" s="2">
        <f>ROUND(BaseValue!$C$8/(B13*D13), 2)</f>
        <v>22.04</v>
      </c>
      <c r="L13" t="s">
        <v>105</v>
      </c>
    </row>
    <row r="14" spans="1:12" x14ac:dyDescent="0.3">
      <c r="A14" s="3" t="s">
        <v>131</v>
      </c>
      <c r="B14" s="2">
        <f>VLOOKUP($A14, Units!$A$2:$I$1000, 6, FALSE)</f>
        <v>41.25</v>
      </c>
      <c r="C14" s="2">
        <f>VLOOKUP($A14, Units!$A$2:$I$1000, 5, FALSE)</f>
        <v>75</v>
      </c>
      <c r="D14" s="2">
        <f>VLOOKUP($A14, Units!$A$2:$I$1000, 4, FALSE)</f>
        <v>0.33</v>
      </c>
      <c r="E14" s="2">
        <f>VLOOKUP($A14, Units!$A$2:$I$1000, 9, FALSE)</f>
        <v>0</v>
      </c>
      <c r="F14" s="2">
        <f t="shared" si="14"/>
        <v>0</v>
      </c>
      <c r="G14" s="2">
        <f>IF(E14=0,1,_xlfn.CEILING.MATH(0.9069*(F14*F14)/(BaseValue!$C$13*BaseValue!$C$13)))</f>
        <v>1</v>
      </c>
      <c r="H14" s="2">
        <f t="shared" si="15"/>
        <v>13.612500000000001</v>
      </c>
      <c r="I14" s="2">
        <f t="shared" si="16"/>
        <v>13.612500000000001</v>
      </c>
      <c r="J14" s="2">
        <f>C14/BaseValue!$C$9</f>
        <v>3</v>
      </c>
      <c r="K14" s="2">
        <f>ROUND(BaseValue!$C$8/(B14*D14), 2)</f>
        <v>22.04</v>
      </c>
      <c r="L14" t="s">
        <v>107</v>
      </c>
    </row>
    <row r="15" spans="1:12" x14ac:dyDescent="0.3">
      <c r="A15" s="3" t="s">
        <v>132</v>
      </c>
      <c r="B15" s="2">
        <f>VLOOKUP($A15, Units!$A$2:$I$1000, 6, FALSE)</f>
        <v>41.25</v>
      </c>
      <c r="C15" s="2">
        <f>VLOOKUP($A15, Units!$A$2:$I$1000, 5, FALSE)</f>
        <v>75</v>
      </c>
      <c r="D15" s="2">
        <f>VLOOKUP($A15, Units!$A$2:$I$1000, 4, FALSE)</f>
        <v>0.33</v>
      </c>
      <c r="E15" s="2">
        <f>VLOOKUP($A15, Units!$A$2:$I$1000, 9, FALSE)</f>
        <v>0</v>
      </c>
      <c r="F15" s="2">
        <f t="shared" si="14"/>
        <v>0</v>
      </c>
      <c r="G15" s="2">
        <f>IF(E15=0,1,_xlfn.CEILING.MATH(0.9069*(F15*F15)/(BaseValue!$C$13*BaseValue!$C$13)))</f>
        <v>1</v>
      </c>
      <c r="H15" s="2">
        <f t="shared" si="15"/>
        <v>13.612500000000001</v>
      </c>
      <c r="I15" s="2">
        <f t="shared" si="16"/>
        <v>13.612500000000001</v>
      </c>
      <c r="J15" s="2">
        <f>C15/BaseValue!$C$9</f>
        <v>3</v>
      </c>
      <c r="K15" s="2">
        <f>ROUND(BaseValue!$C$8/(B15*D15), 2)</f>
        <v>22.04</v>
      </c>
      <c r="L15" t="s">
        <v>106</v>
      </c>
    </row>
    <row r="16" spans="1:12" x14ac:dyDescent="0.3">
      <c r="A16" s="3" t="s">
        <v>47</v>
      </c>
      <c r="B16" s="2">
        <f>VLOOKUP($A16, Units!$A$2:$I$1000, 6, FALSE)</f>
        <v>50</v>
      </c>
      <c r="C16" s="2">
        <f>VLOOKUP($A16, Units!$A$2:$I$1000, 5, FALSE)</f>
        <v>60</v>
      </c>
      <c r="D16" s="2">
        <f>VLOOKUP($A16, Units!$A$2:$I$1000, 4, FALSE)</f>
        <v>0.33</v>
      </c>
      <c r="E16" s="2">
        <f>VLOOKUP($A16, Units!$A$2:$I$1000, 9, FALSE)</f>
        <v>0</v>
      </c>
      <c r="F16" s="2">
        <f>E16/2</f>
        <v>0</v>
      </c>
      <c r="G16" s="2">
        <f>IF(E16=0,1,_xlfn.CEILING.MATH(0.9069*(F16*F16)/(BaseValue!$C$13*BaseValue!$C$13)))</f>
        <v>1</v>
      </c>
      <c r="H16" s="2">
        <f>B16*D16</f>
        <v>16.5</v>
      </c>
      <c r="I16" s="2">
        <f>H16*G16</f>
        <v>16.5</v>
      </c>
      <c r="J16" s="2">
        <f>C16/BaseValue!$C$9</f>
        <v>2.4</v>
      </c>
      <c r="K16" s="2">
        <f>ROUND(BaseValue!$C$8/(B16*D16), 2)</f>
        <v>18.18</v>
      </c>
      <c r="L16" t="s">
        <v>101</v>
      </c>
    </row>
    <row r="17" spans="1:12" x14ac:dyDescent="0.3">
      <c r="A17" s="3" t="s">
        <v>12</v>
      </c>
      <c r="B17" s="2">
        <f>VLOOKUP($A17, Units!$A$2:$I$1000, 6, FALSE)</f>
        <v>41.25</v>
      </c>
      <c r="C17" s="2">
        <f>VLOOKUP($A17, Units!$A$2:$I$1000, 5, FALSE)</f>
        <v>75</v>
      </c>
      <c r="D17" s="2">
        <f>VLOOKUP($A17, Units!$A$2:$I$1000, 4, FALSE)</f>
        <v>0.33</v>
      </c>
      <c r="E17" s="2">
        <f>VLOOKUP($A17, Units!$A$2:$I$1000, 9, FALSE)</f>
        <v>30</v>
      </c>
      <c r="F17" s="2">
        <f t="shared" si="14"/>
        <v>15</v>
      </c>
      <c r="G17" s="2">
        <f>IF(E17=0,1,_xlfn.CEILING.MATH(0.9069*(F17*F17)/(BaseValue!$C$13*BaseValue!$C$13)))</f>
        <v>2</v>
      </c>
      <c r="H17" s="2">
        <f t="shared" si="15"/>
        <v>13.612500000000001</v>
      </c>
      <c r="I17" s="2">
        <f t="shared" si="16"/>
        <v>27.225000000000001</v>
      </c>
      <c r="J17" s="2">
        <f>C17/BaseValue!$C$9</f>
        <v>3</v>
      </c>
      <c r="K17" s="2">
        <f>ROUND(BaseValue!$C$8/(B17*D17), 2)</f>
        <v>22.04</v>
      </c>
      <c r="L17" t="s">
        <v>108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Group</vt:lpstr>
      <vt:lpstr>Units</vt:lpstr>
      <vt:lpstr>BaseValue</vt:lpstr>
      <vt:lpstr>TuneValue</vt:lpstr>
      <vt:lpstr>참고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한경욱 [radiant1996]</cp:lastModifiedBy>
  <dcterms:created xsi:type="dcterms:W3CDTF">2026-01-28T09:20:49Z</dcterms:created>
  <dcterms:modified xsi:type="dcterms:W3CDTF">2026-03-15T17:04:47Z</dcterms:modified>
</cp:coreProperties>
</file>